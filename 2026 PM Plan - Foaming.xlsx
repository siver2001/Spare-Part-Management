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rtholitevietnam.sharepoint.com/sites/ehs-facility/Shared Documents/General/1. EHS &amp; Facility/03. Maintainance/03. Maintenance/06. ISO/ISO 2026/3.PM plan/"/>
    </mc:Choice>
  </mc:AlternateContent>
  <xr:revisionPtr revIDLastSave="290" documentId="13_ncr:1_{5F0353F1-BD0A-4472-83F1-754F553877C6}" xr6:coauthVersionLast="47" xr6:coauthVersionMax="47" xr10:uidLastSave="{884C36A6-3853-496D-B672-88C04CCBFF60}"/>
  <bookViews>
    <workbookView xWindow="-108" yWindow="-108" windowWidth="23256" windowHeight="12456" xr2:uid="{00000000-000D-0000-FFFF-FFFF00000000}"/>
  </bookViews>
  <sheets>
    <sheet name="Master Plan(Monitoring)" sheetId="8" r:id="rId1"/>
    <sheet name="Detail Plan" sheetId="5" state="hidden" r:id="rId2"/>
    <sheet name="data" sheetId="7" state="hidden" r:id="rId3"/>
  </sheets>
  <externalReferences>
    <externalReference r:id="rId4"/>
  </externalReferences>
  <definedNames>
    <definedName name="_xlnm._FilterDatabase" localSheetId="1" hidden="1">'Detail Plan'!$A$4:$PF$430</definedName>
    <definedName name="_xlnm._FilterDatabase" localSheetId="0" hidden="1">'Master Plan(Monitoring)'!$B$2:$BH$24</definedName>
    <definedName name="_xlnm.Print_Area" localSheetId="0">'Master Plan(Monitoring)'!$A$1:$BE$24</definedName>
    <definedName name="Priority">'[1]Action Items'!$L$5:$L$7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" i="8" l="1"/>
  <c r="AW3" i="8"/>
  <c r="AX3" i="8"/>
  <c r="AY3" i="8"/>
  <c r="AZ3" i="8"/>
  <c r="BA3" i="8"/>
  <c r="BB3" i="8"/>
  <c r="BC3" i="8"/>
  <c r="BD3" i="8"/>
  <c r="BE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M4" i="7"/>
  <c r="L4" i="7"/>
  <c r="K4" i="7"/>
  <c r="J4" i="7"/>
  <c r="I4" i="7"/>
  <c r="H4" i="7"/>
  <c r="G4" i="7"/>
  <c r="F4" i="7"/>
  <c r="E4" i="7"/>
  <c r="D4" i="7"/>
  <c r="C4" i="7"/>
  <c r="B4" i="7"/>
  <c r="M3" i="7"/>
  <c r="L3" i="7"/>
  <c r="K3" i="7"/>
  <c r="J3" i="7"/>
  <c r="I3" i="7"/>
  <c r="H3" i="7"/>
  <c r="G3" i="7"/>
  <c r="F3" i="7"/>
  <c r="E3" i="7"/>
  <c r="D3" i="7"/>
  <c r="C3" i="7"/>
  <c r="B3" i="7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FA5" i="5"/>
  <c r="FB5" i="5"/>
  <c r="FC5" i="5"/>
  <c r="FD5" i="5"/>
  <c r="FE5" i="5"/>
  <c r="FF5" i="5"/>
  <c r="FG5" i="5"/>
  <c r="FH5" i="5"/>
  <c r="FI5" i="5"/>
  <c r="FJ5" i="5"/>
  <c r="FK5" i="5"/>
  <c r="FL5" i="5"/>
  <c r="FM5" i="5"/>
  <c r="FN5" i="5"/>
  <c r="FO5" i="5"/>
  <c r="FP5" i="5"/>
  <c r="FQ5" i="5"/>
  <c r="FR5" i="5"/>
  <c r="FS5" i="5"/>
  <c r="FT5" i="5"/>
  <c r="FU5" i="5"/>
  <c r="FV5" i="5"/>
  <c r="FW5" i="5"/>
  <c r="FX5" i="5"/>
  <c r="FY5" i="5"/>
  <c r="FZ5" i="5"/>
  <c r="GA5" i="5"/>
  <c r="GB5" i="5"/>
  <c r="GC5" i="5"/>
  <c r="GD5" i="5"/>
  <c r="GE5" i="5"/>
  <c r="GF5" i="5"/>
  <c r="GG5" i="5"/>
  <c r="GH5" i="5"/>
  <c r="GI5" i="5"/>
  <c r="GJ5" i="5"/>
  <c r="GK5" i="5"/>
  <c r="GL5" i="5"/>
  <c r="GM5" i="5"/>
  <c r="GN5" i="5"/>
  <c r="GO5" i="5"/>
  <c r="GP5" i="5"/>
  <c r="GQ5" i="5"/>
  <c r="GR5" i="5"/>
  <c r="GS5" i="5"/>
  <c r="GT5" i="5"/>
  <c r="GU5" i="5"/>
  <c r="GV5" i="5"/>
  <c r="GW5" i="5"/>
  <c r="GX5" i="5"/>
  <c r="GY5" i="5"/>
  <c r="GZ5" i="5"/>
  <c r="HA5" i="5"/>
  <c r="HB5" i="5"/>
  <c r="HC5" i="5"/>
  <c r="HD5" i="5"/>
  <c r="HE5" i="5"/>
  <c r="HF5" i="5"/>
  <c r="HG5" i="5"/>
  <c r="HH5" i="5"/>
  <c r="HI5" i="5"/>
  <c r="HJ5" i="5"/>
  <c r="HK5" i="5"/>
  <c r="HL5" i="5"/>
  <c r="HM5" i="5"/>
  <c r="HN5" i="5"/>
  <c r="HO5" i="5"/>
  <c r="HP5" i="5"/>
  <c r="HQ5" i="5"/>
  <c r="HR5" i="5"/>
  <c r="HS5" i="5"/>
  <c r="HT5" i="5"/>
  <c r="HU5" i="5"/>
  <c r="HV5" i="5"/>
  <c r="HW5" i="5"/>
  <c r="HX5" i="5"/>
  <c r="HY5" i="5"/>
  <c r="HZ5" i="5"/>
  <c r="IA5" i="5"/>
  <c r="IB5" i="5"/>
  <c r="IC5" i="5"/>
  <c r="ID5" i="5"/>
  <c r="IE5" i="5"/>
  <c r="IF5" i="5"/>
  <c r="IG5" i="5"/>
  <c r="IH5" i="5"/>
  <c r="II5" i="5"/>
  <c r="IJ5" i="5"/>
  <c r="IK5" i="5"/>
  <c r="IL5" i="5"/>
  <c r="IM5" i="5"/>
  <c r="IN5" i="5"/>
  <c r="IO5" i="5"/>
  <c r="IP5" i="5"/>
  <c r="IQ5" i="5"/>
  <c r="IR5" i="5"/>
  <c r="IS5" i="5"/>
  <c r="IT5" i="5"/>
  <c r="IU5" i="5"/>
  <c r="IV5" i="5"/>
  <c r="IW5" i="5"/>
  <c r="IX5" i="5"/>
  <c r="IY5" i="5"/>
  <c r="IZ5" i="5"/>
  <c r="JA5" i="5"/>
  <c r="JB5" i="5"/>
  <c r="JC5" i="5"/>
  <c r="JD5" i="5"/>
  <c r="JE5" i="5"/>
  <c r="JF5" i="5"/>
  <c r="JG5" i="5"/>
  <c r="JH5" i="5"/>
  <c r="JI5" i="5"/>
  <c r="JJ5" i="5"/>
  <c r="JK5" i="5"/>
  <c r="JL5" i="5"/>
  <c r="JM5" i="5"/>
  <c r="JN5" i="5"/>
  <c r="JO5" i="5"/>
  <c r="JP5" i="5"/>
  <c r="JQ5" i="5"/>
  <c r="JR5" i="5"/>
  <c r="JS5" i="5"/>
  <c r="JT5" i="5"/>
  <c r="JU5" i="5"/>
  <c r="JV5" i="5"/>
  <c r="JW5" i="5"/>
  <c r="JX5" i="5"/>
  <c r="JY5" i="5"/>
  <c r="JZ5" i="5"/>
  <c r="KA5" i="5"/>
  <c r="KB5" i="5"/>
  <c r="KC5" i="5"/>
  <c r="KD5" i="5"/>
  <c r="KE5" i="5"/>
  <c r="KF5" i="5"/>
  <c r="KG5" i="5"/>
  <c r="KH5" i="5"/>
  <c r="KI5" i="5"/>
  <c r="KJ5" i="5"/>
  <c r="KK5" i="5"/>
  <c r="KL5" i="5"/>
  <c r="KM5" i="5"/>
  <c r="KN5" i="5"/>
  <c r="KO5" i="5"/>
  <c r="KP5" i="5"/>
  <c r="KQ5" i="5"/>
  <c r="KR5" i="5"/>
  <c r="KS5" i="5"/>
  <c r="KT5" i="5"/>
  <c r="KU5" i="5"/>
  <c r="KV5" i="5"/>
  <c r="KW5" i="5"/>
  <c r="KX5" i="5"/>
  <c r="KY5" i="5"/>
  <c r="KZ5" i="5"/>
  <c r="LA5" i="5"/>
  <c r="LB5" i="5"/>
  <c r="LC5" i="5"/>
  <c r="LD5" i="5"/>
  <c r="LE5" i="5"/>
  <c r="LF5" i="5"/>
  <c r="LG5" i="5"/>
  <c r="LH5" i="5"/>
  <c r="LI5" i="5"/>
  <c r="LJ5" i="5"/>
  <c r="LK5" i="5"/>
  <c r="LL5" i="5"/>
  <c r="LM5" i="5"/>
  <c r="LN5" i="5"/>
  <c r="LO5" i="5"/>
  <c r="LP5" i="5"/>
  <c r="LQ5" i="5"/>
  <c r="LR5" i="5"/>
  <c r="LS5" i="5"/>
  <c r="LT5" i="5"/>
  <c r="LU5" i="5"/>
  <c r="LV5" i="5"/>
  <c r="LW5" i="5"/>
  <c r="LX5" i="5"/>
  <c r="LY5" i="5"/>
  <c r="LZ5" i="5"/>
  <c r="MA5" i="5"/>
  <c r="MB5" i="5"/>
  <c r="MC5" i="5"/>
  <c r="MD5" i="5"/>
  <c r="ME5" i="5"/>
  <c r="MF5" i="5"/>
  <c r="MG5" i="5"/>
  <c r="MH5" i="5"/>
  <c r="MI5" i="5"/>
  <c r="MJ5" i="5"/>
  <c r="MK5" i="5"/>
  <c r="ML5" i="5"/>
  <c r="MM5" i="5"/>
  <c r="MN5" i="5"/>
  <c r="MO5" i="5"/>
  <c r="MP5" i="5"/>
  <c r="MQ5" i="5"/>
  <c r="MR5" i="5"/>
  <c r="MS5" i="5"/>
  <c r="MT5" i="5"/>
  <c r="MU5" i="5"/>
  <c r="MV5" i="5"/>
  <c r="MW5" i="5"/>
  <c r="MX5" i="5"/>
  <c r="MY5" i="5"/>
  <c r="MZ5" i="5"/>
  <c r="NA5" i="5"/>
  <c r="NB5" i="5"/>
  <c r="NC5" i="5"/>
  <c r="ND5" i="5"/>
  <c r="E5" i="5"/>
  <c r="F5" i="5"/>
  <c r="G5" i="5"/>
  <c r="H5" i="5"/>
  <c r="I5" i="5"/>
  <c r="J5" i="5"/>
  <c r="D5" i="5"/>
  <c r="NC3" i="5"/>
  <c r="NB3" i="5"/>
  <c r="NA3" i="5"/>
  <c r="MZ3" i="5"/>
  <c r="MY3" i="5"/>
  <c r="MX3" i="5"/>
  <c r="MW3" i="5"/>
  <c r="MV3" i="5"/>
  <c r="MU3" i="5"/>
  <c r="MT3" i="5"/>
  <c r="MS3" i="5"/>
  <c r="MR3" i="5"/>
  <c r="MQ3" i="5"/>
  <c r="MP3" i="5"/>
  <c r="MO3" i="5"/>
  <c r="MN3" i="5"/>
  <c r="MM3" i="5"/>
  <c r="ML3" i="5"/>
  <c r="MK3" i="5"/>
  <c r="MJ3" i="5"/>
  <c r="MI3" i="5"/>
  <c r="MH3" i="5"/>
  <c r="MG3" i="5"/>
  <c r="MF3" i="5"/>
  <c r="ME3" i="5"/>
  <c r="MD3" i="5"/>
  <c r="MC3" i="5"/>
  <c r="MB3" i="5"/>
  <c r="MA3" i="5"/>
  <c r="LZ3" i="5"/>
  <c r="LY3" i="5"/>
  <c r="LX3" i="5"/>
  <c r="LW3" i="5"/>
  <c r="LV3" i="5"/>
  <c r="LU3" i="5"/>
  <c r="LT3" i="5"/>
  <c r="LS3" i="5"/>
  <c r="LR3" i="5"/>
  <c r="LQ3" i="5"/>
  <c r="LP3" i="5"/>
  <c r="LO3" i="5"/>
  <c r="LN3" i="5"/>
  <c r="LM3" i="5"/>
  <c r="LL3" i="5"/>
  <c r="LK3" i="5"/>
  <c r="LJ3" i="5"/>
  <c r="LI3" i="5"/>
  <c r="LH3" i="5"/>
  <c r="LG3" i="5"/>
  <c r="LF3" i="5"/>
  <c r="LE3" i="5"/>
  <c r="LD3" i="5"/>
  <c r="LC3" i="5"/>
  <c r="LB3" i="5"/>
  <c r="LA3" i="5"/>
  <c r="KZ3" i="5"/>
  <c r="KY3" i="5"/>
  <c r="KX3" i="5"/>
  <c r="KW3" i="5"/>
  <c r="KV3" i="5"/>
  <c r="KU3" i="5"/>
  <c r="KT3" i="5"/>
  <c r="KS3" i="5"/>
  <c r="KR3" i="5"/>
  <c r="KQ3" i="5"/>
  <c r="KP3" i="5"/>
  <c r="KO3" i="5"/>
  <c r="KN3" i="5"/>
  <c r="KM3" i="5"/>
  <c r="KL3" i="5"/>
  <c r="KK3" i="5"/>
  <c r="KJ3" i="5"/>
  <c r="KI3" i="5"/>
  <c r="KH3" i="5"/>
  <c r="KG3" i="5"/>
  <c r="KF3" i="5"/>
  <c r="KE3" i="5"/>
  <c r="KD3" i="5"/>
  <c r="KC3" i="5"/>
  <c r="KB3" i="5"/>
  <c r="KA3" i="5"/>
  <c r="JZ3" i="5"/>
  <c r="JY3" i="5"/>
  <c r="JX3" i="5"/>
  <c r="JW3" i="5"/>
  <c r="JV3" i="5"/>
  <c r="JU3" i="5"/>
  <c r="JT3" i="5"/>
  <c r="JS3" i="5"/>
  <c r="JR3" i="5"/>
  <c r="JQ3" i="5"/>
  <c r="JP3" i="5"/>
  <c r="JO3" i="5"/>
  <c r="JN3" i="5"/>
  <c r="JM3" i="5"/>
  <c r="JL3" i="5"/>
  <c r="JK3" i="5"/>
  <c r="JJ3" i="5"/>
  <c r="JI3" i="5"/>
  <c r="JH3" i="5"/>
  <c r="JG3" i="5"/>
  <c r="JF3" i="5"/>
  <c r="JE3" i="5"/>
  <c r="JD3" i="5"/>
  <c r="JC3" i="5"/>
  <c r="JB3" i="5"/>
  <c r="JA3" i="5"/>
  <c r="IZ3" i="5"/>
  <c r="IY3" i="5"/>
  <c r="IX3" i="5"/>
  <c r="IW3" i="5"/>
  <c r="IV3" i="5"/>
  <c r="IU3" i="5"/>
  <c r="IT3" i="5"/>
  <c r="IS3" i="5"/>
  <c r="IR3" i="5"/>
  <c r="IQ3" i="5"/>
  <c r="IP3" i="5"/>
  <c r="IO3" i="5"/>
  <c r="IN3" i="5"/>
  <c r="IM3" i="5"/>
  <c r="IL3" i="5"/>
  <c r="IK3" i="5"/>
  <c r="IJ3" i="5"/>
  <c r="II3" i="5"/>
  <c r="IH3" i="5"/>
  <c r="IG3" i="5"/>
  <c r="IF3" i="5"/>
  <c r="IE3" i="5"/>
  <c r="ID3" i="5"/>
  <c r="IC3" i="5"/>
  <c r="IB3" i="5"/>
  <c r="IA3" i="5"/>
  <c r="HZ3" i="5"/>
  <c r="HY3" i="5"/>
  <c r="HX3" i="5"/>
  <c r="HW3" i="5"/>
  <c r="HV3" i="5"/>
  <c r="HU3" i="5"/>
  <c r="HT3" i="5"/>
  <c r="HS3" i="5"/>
  <c r="HR3" i="5"/>
  <c r="HQ3" i="5"/>
  <c r="HP3" i="5"/>
  <c r="HO3" i="5"/>
  <c r="HN3" i="5"/>
  <c r="HM3" i="5"/>
  <c r="HL3" i="5"/>
  <c r="HK3" i="5"/>
  <c r="HJ3" i="5"/>
  <c r="HI3" i="5"/>
  <c r="HH3" i="5"/>
  <c r="HG3" i="5"/>
  <c r="HF3" i="5"/>
  <c r="HE3" i="5"/>
  <c r="HD3" i="5"/>
  <c r="HC3" i="5"/>
  <c r="HB3" i="5"/>
  <c r="HA3" i="5"/>
  <c r="GZ3" i="5"/>
  <c r="GY3" i="5"/>
  <c r="GX3" i="5"/>
  <c r="GW3" i="5"/>
  <c r="GV3" i="5"/>
  <c r="GU3" i="5"/>
  <c r="GT3" i="5"/>
  <c r="GS3" i="5"/>
  <c r="GR3" i="5"/>
  <c r="GQ3" i="5"/>
  <c r="GP3" i="5"/>
  <c r="GO3" i="5"/>
  <c r="GN3" i="5"/>
  <c r="GM3" i="5"/>
  <c r="GL3" i="5"/>
  <c r="GK3" i="5"/>
  <c r="GJ3" i="5"/>
  <c r="GI3" i="5"/>
  <c r="GH3" i="5"/>
  <c r="GG3" i="5"/>
  <c r="GF3" i="5"/>
  <c r="GE3" i="5"/>
  <c r="GD3" i="5"/>
  <c r="GC3" i="5"/>
  <c r="GB3" i="5"/>
  <c r="GA3" i="5"/>
  <c r="FZ3" i="5"/>
  <c r="FY3" i="5"/>
  <c r="FX3" i="5"/>
  <c r="FW3" i="5"/>
  <c r="FV3" i="5"/>
  <c r="FU3" i="5"/>
  <c r="FT3" i="5"/>
  <c r="FS3" i="5"/>
  <c r="FR3" i="5"/>
  <c r="FQ3" i="5"/>
  <c r="FP3" i="5"/>
  <c r="FO3" i="5"/>
  <c r="FN3" i="5"/>
  <c r="FM3" i="5"/>
  <c r="FL3" i="5"/>
  <c r="FK3" i="5"/>
  <c r="FJ3" i="5"/>
  <c r="FI3" i="5"/>
  <c r="FH3" i="5"/>
  <c r="FG3" i="5"/>
  <c r="FF3" i="5"/>
  <c r="FE3" i="5"/>
  <c r="FD3" i="5"/>
  <c r="FC3" i="5"/>
  <c r="FB3" i="5"/>
  <c r="FA3" i="5"/>
  <c r="EZ3" i="5"/>
  <c r="EY3" i="5"/>
  <c r="EX3" i="5"/>
  <c r="EW3" i="5"/>
  <c r="EV3" i="5"/>
  <c r="EU3" i="5"/>
  <c r="ET3" i="5"/>
  <c r="ES3" i="5"/>
  <c r="ER3" i="5"/>
  <c r="EQ3" i="5"/>
  <c r="EP3" i="5"/>
  <c r="EO3" i="5"/>
  <c r="EN3" i="5"/>
  <c r="EM3" i="5"/>
  <c r="EL3" i="5"/>
  <c r="EK3" i="5"/>
  <c r="EJ3" i="5"/>
  <c r="EI3" i="5"/>
  <c r="EH3" i="5"/>
  <c r="EG3" i="5"/>
  <c r="EF3" i="5"/>
  <c r="EE3" i="5"/>
  <c r="ED3" i="5"/>
  <c r="EC3" i="5"/>
  <c r="EB3" i="5"/>
  <c r="EA3" i="5"/>
  <c r="DZ3" i="5"/>
  <c r="DY3" i="5"/>
  <c r="DX3" i="5"/>
  <c r="DW3" i="5"/>
  <c r="DV3" i="5"/>
  <c r="DU3" i="5"/>
  <c r="DT3" i="5"/>
  <c r="DS3" i="5"/>
  <c r="DR3" i="5"/>
  <c r="DQ3" i="5"/>
  <c r="DP3" i="5"/>
  <c r="DO3" i="5"/>
  <c r="DN3" i="5"/>
  <c r="DM3" i="5"/>
  <c r="DL3" i="5"/>
  <c r="DK3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NC2" i="5"/>
  <c r="NB2" i="5"/>
  <c r="NA2" i="5"/>
  <c r="MZ2" i="5"/>
  <c r="MY2" i="5"/>
  <c r="MX2" i="5"/>
  <c r="MW2" i="5"/>
  <c r="MV2" i="5"/>
  <c r="MU2" i="5"/>
  <c r="MT2" i="5"/>
  <c r="MS2" i="5"/>
  <c r="MR2" i="5"/>
  <c r="MQ2" i="5"/>
  <c r="MP2" i="5"/>
  <c r="MO2" i="5"/>
  <c r="MN2" i="5"/>
  <c r="MM2" i="5"/>
  <c r="ML2" i="5"/>
  <c r="MK2" i="5"/>
  <c r="MJ2" i="5"/>
  <c r="MI2" i="5"/>
  <c r="MH2" i="5"/>
  <c r="MG2" i="5"/>
  <c r="MF2" i="5"/>
  <c r="ME2" i="5"/>
  <c r="MD2" i="5"/>
  <c r="MC2" i="5"/>
  <c r="MB2" i="5"/>
  <c r="MA2" i="5"/>
  <c r="LZ2" i="5"/>
  <c r="LY2" i="5"/>
  <c r="LX2" i="5"/>
  <c r="LW2" i="5"/>
  <c r="LV2" i="5"/>
  <c r="LU2" i="5"/>
  <c r="LT2" i="5"/>
  <c r="LS2" i="5"/>
  <c r="LR2" i="5"/>
  <c r="LQ2" i="5"/>
  <c r="LP2" i="5"/>
  <c r="LO2" i="5"/>
  <c r="LN2" i="5"/>
  <c r="LM2" i="5"/>
  <c r="LL2" i="5"/>
  <c r="LK2" i="5"/>
  <c r="LJ2" i="5"/>
  <c r="LI2" i="5"/>
  <c r="LH2" i="5"/>
  <c r="LG2" i="5"/>
  <c r="LF2" i="5"/>
  <c r="LE2" i="5"/>
  <c r="LD2" i="5"/>
  <c r="LC2" i="5"/>
  <c r="LB2" i="5"/>
  <c r="LA2" i="5"/>
  <c r="KZ2" i="5"/>
  <c r="KY2" i="5"/>
  <c r="KX2" i="5"/>
  <c r="KW2" i="5"/>
  <c r="KV2" i="5"/>
  <c r="KU2" i="5"/>
  <c r="KT2" i="5"/>
  <c r="KS2" i="5"/>
  <c r="KR2" i="5"/>
  <c r="KQ2" i="5"/>
  <c r="KP2" i="5"/>
  <c r="KO2" i="5"/>
  <c r="KN2" i="5"/>
  <c r="KM2" i="5"/>
  <c r="KL2" i="5"/>
  <c r="KK2" i="5"/>
  <c r="KJ2" i="5"/>
  <c r="KI2" i="5"/>
  <c r="KH2" i="5"/>
  <c r="KG2" i="5"/>
  <c r="KF2" i="5"/>
  <c r="KE2" i="5"/>
  <c r="KD2" i="5"/>
  <c r="KC2" i="5"/>
  <c r="KB2" i="5"/>
  <c r="KA2" i="5"/>
  <c r="JZ2" i="5"/>
  <c r="JY2" i="5"/>
  <c r="JX2" i="5"/>
  <c r="JW2" i="5"/>
  <c r="JV2" i="5"/>
  <c r="JU2" i="5"/>
  <c r="JT2" i="5"/>
  <c r="JS2" i="5"/>
  <c r="JR2" i="5"/>
  <c r="JQ2" i="5"/>
  <c r="JP2" i="5"/>
  <c r="JO2" i="5"/>
  <c r="JN2" i="5"/>
  <c r="JM2" i="5"/>
  <c r="JL2" i="5"/>
  <c r="JK2" i="5"/>
  <c r="JJ2" i="5"/>
  <c r="JI2" i="5"/>
  <c r="JH2" i="5"/>
  <c r="JG2" i="5"/>
  <c r="JF2" i="5"/>
  <c r="JE2" i="5"/>
  <c r="JD2" i="5"/>
  <c r="JC2" i="5"/>
  <c r="JB2" i="5"/>
  <c r="JA2" i="5"/>
  <c r="IZ2" i="5"/>
  <c r="IY2" i="5"/>
  <c r="IX2" i="5"/>
  <c r="IW2" i="5"/>
  <c r="IV2" i="5"/>
  <c r="IU2" i="5"/>
  <c r="IT2" i="5"/>
  <c r="IS2" i="5"/>
  <c r="IR2" i="5"/>
  <c r="IQ2" i="5"/>
  <c r="IP2" i="5"/>
  <c r="IO2" i="5"/>
  <c r="IN2" i="5"/>
  <c r="IM2" i="5"/>
  <c r="IL2" i="5"/>
  <c r="IK2" i="5"/>
  <c r="IJ2" i="5"/>
  <c r="II2" i="5"/>
  <c r="IH2" i="5"/>
  <c r="IG2" i="5"/>
  <c r="IF2" i="5"/>
  <c r="IE2" i="5"/>
  <c r="ID2" i="5"/>
  <c r="IC2" i="5"/>
  <c r="IB2" i="5"/>
  <c r="IA2" i="5"/>
  <c r="HZ2" i="5"/>
  <c r="HY2" i="5"/>
  <c r="HX2" i="5"/>
  <c r="HW2" i="5"/>
  <c r="HV2" i="5"/>
  <c r="HU2" i="5"/>
  <c r="HT2" i="5"/>
  <c r="HS2" i="5"/>
  <c r="HR2" i="5"/>
  <c r="HQ2" i="5"/>
  <c r="HP2" i="5"/>
  <c r="HO2" i="5"/>
  <c r="HN2" i="5"/>
  <c r="HM2" i="5"/>
  <c r="HL2" i="5"/>
  <c r="HK2" i="5"/>
  <c r="HJ2" i="5"/>
  <c r="HI2" i="5"/>
  <c r="HH2" i="5"/>
  <c r="HG2" i="5"/>
  <c r="HF2" i="5"/>
  <c r="HE2" i="5"/>
  <c r="HD2" i="5"/>
  <c r="HC2" i="5"/>
  <c r="HB2" i="5"/>
  <c r="HA2" i="5"/>
  <c r="GZ2" i="5"/>
  <c r="GY2" i="5"/>
  <c r="GX2" i="5"/>
  <c r="GW2" i="5"/>
  <c r="GV2" i="5"/>
  <c r="GU2" i="5"/>
  <c r="GT2" i="5"/>
  <c r="GS2" i="5"/>
  <c r="GR2" i="5"/>
  <c r="GQ2" i="5"/>
  <c r="GP2" i="5"/>
  <c r="GO2" i="5"/>
  <c r="GN2" i="5"/>
  <c r="GM2" i="5"/>
  <c r="GL2" i="5"/>
  <c r="GK2" i="5"/>
  <c r="GJ2" i="5"/>
  <c r="GI2" i="5"/>
  <c r="GH2" i="5"/>
  <c r="GG2" i="5"/>
  <c r="GF2" i="5"/>
  <c r="GE2" i="5"/>
  <c r="GD2" i="5"/>
  <c r="GC2" i="5"/>
  <c r="GB2" i="5"/>
  <c r="GA2" i="5"/>
  <c r="FZ2" i="5"/>
  <c r="FY2" i="5"/>
  <c r="FX2" i="5"/>
  <c r="FW2" i="5"/>
  <c r="FV2" i="5"/>
  <c r="FU2" i="5"/>
  <c r="FT2" i="5"/>
  <c r="FS2" i="5"/>
  <c r="FR2" i="5"/>
  <c r="FQ2" i="5"/>
  <c r="FP2" i="5"/>
  <c r="FO2" i="5"/>
  <c r="FN2" i="5"/>
  <c r="FM2" i="5"/>
  <c r="FL2" i="5"/>
  <c r="FK2" i="5"/>
  <c r="FJ2" i="5"/>
  <c r="FI2" i="5"/>
  <c r="FH2" i="5"/>
  <c r="FG2" i="5"/>
  <c r="FF2" i="5"/>
  <c r="FE2" i="5"/>
  <c r="FD2" i="5"/>
  <c r="FC2" i="5"/>
  <c r="FB2" i="5"/>
  <c r="FA2" i="5"/>
  <c r="EZ2" i="5"/>
  <c r="EY2" i="5"/>
  <c r="EX2" i="5"/>
  <c r="EW2" i="5"/>
  <c r="EV2" i="5"/>
  <c r="EU2" i="5"/>
  <c r="ET2" i="5"/>
  <c r="ES2" i="5"/>
  <c r="ER2" i="5"/>
  <c r="EQ2" i="5"/>
  <c r="EP2" i="5"/>
  <c r="EO2" i="5"/>
  <c r="EN2" i="5"/>
  <c r="EM2" i="5"/>
  <c r="EL2" i="5"/>
  <c r="EK2" i="5"/>
  <c r="EJ2" i="5"/>
  <c r="EI2" i="5"/>
  <c r="EH2" i="5"/>
  <c r="EG2" i="5"/>
  <c r="EF2" i="5"/>
  <c r="EE2" i="5"/>
  <c r="ED2" i="5"/>
  <c r="EC2" i="5"/>
  <c r="EB2" i="5"/>
  <c r="EA2" i="5"/>
  <c r="DZ2" i="5"/>
  <c r="DY2" i="5"/>
  <c r="DX2" i="5"/>
  <c r="DW2" i="5"/>
  <c r="DV2" i="5"/>
  <c r="DU2" i="5"/>
  <c r="DT2" i="5"/>
  <c r="DS2" i="5"/>
  <c r="DR2" i="5"/>
  <c r="DQ2" i="5"/>
  <c r="DP2" i="5"/>
  <c r="DO2" i="5"/>
  <c r="DN2" i="5"/>
  <c r="DM2" i="5"/>
  <c r="DL2" i="5"/>
  <c r="DK2" i="5"/>
  <c r="DJ2" i="5"/>
  <c r="DI2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K2" i="5"/>
  <c r="CJ2" i="5"/>
  <c r="CI2" i="5"/>
  <c r="CH2" i="5"/>
  <c r="CG2" i="5"/>
  <c r="CF2" i="5"/>
  <c r="CE2" i="5"/>
  <c r="CD2" i="5"/>
  <c r="CC2" i="5"/>
  <c r="CB2" i="5"/>
  <c r="CA2" i="5"/>
  <c r="BZ2" i="5"/>
  <c r="BY2" i="5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NC1" i="5"/>
  <c r="NB1" i="5"/>
  <c r="NA1" i="5"/>
  <c r="MZ1" i="5"/>
  <c r="MY1" i="5"/>
  <c r="MX1" i="5"/>
  <c r="MW1" i="5"/>
  <c r="MV1" i="5"/>
  <c r="MU1" i="5"/>
  <c r="MT1" i="5"/>
  <c r="MS1" i="5"/>
  <c r="MR1" i="5"/>
  <c r="MQ1" i="5"/>
  <c r="MP1" i="5"/>
  <c r="MO1" i="5"/>
  <c r="MN1" i="5"/>
  <c r="MM1" i="5"/>
  <c r="ML1" i="5"/>
  <c r="MK1" i="5"/>
  <c r="MJ1" i="5"/>
  <c r="MI1" i="5"/>
  <c r="MH1" i="5"/>
  <c r="MG1" i="5"/>
  <c r="MF1" i="5"/>
  <c r="ME1" i="5"/>
  <c r="MD1" i="5"/>
  <c r="MC1" i="5"/>
  <c r="MB1" i="5"/>
  <c r="MA1" i="5"/>
  <c r="LZ1" i="5"/>
  <c r="LY1" i="5"/>
  <c r="LX1" i="5"/>
  <c r="LW1" i="5"/>
  <c r="LV1" i="5"/>
  <c r="LU1" i="5"/>
  <c r="LT1" i="5"/>
  <c r="LS1" i="5"/>
  <c r="LR1" i="5"/>
  <c r="LQ1" i="5"/>
  <c r="LP1" i="5"/>
  <c r="LO1" i="5"/>
  <c r="LN1" i="5"/>
  <c r="LM1" i="5"/>
  <c r="LL1" i="5"/>
  <c r="LK1" i="5"/>
  <c r="LJ1" i="5"/>
  <c r="LI1" i="5"/>
  <c r="LH1" i="5"/>
  <c r="LG1" i="5"/>
  <c r="LF1" i="5"/>
  <c r="LE1" i="5"/>
  <c r="LD1" i="5"/>
  <c r="LC1" i="5"/>
  <c r="LB1" i="5"/>
  <c r="LA1" i="5"/>
  <c r="KZ1" i="5"/>
  <c r="KY1" i="5"/>
  <c r="KX1" i="5"/>
  <c r="KW1" i="5"/>
  <c r="KV1" i="5"/>
  <c r="KU1" i="5"/>
  <c r="KT1" i="5"/>
  <c r="KS1" i="5"/>
  <c r="KR1" i="5"/>
  <c r="KQ1" i="5"/>
  <c r="KP1" i="5"/>
  <c r="KO1" i="5"/>
  <c r="KN1" i="5"/>
  <c r="KM1" i="5"/>
  <c r="KL1" i="5"/>
  <c r="KK1" i="5"/>
  <c r="KJ1" i="5"/>
  <c r="KI1" i="5"/>
  <c r="KH1" i="5"/>
  <c r="KG1" i="5"/>
  <c r="KF1" i="5"/>
  <c r="KE1" i="5"/>
  <c r="KD1" i="5"/>
  <c r="KC1" i="5"/>
  <c r="KB1" i="5"/>
  <c r="KA1" i="5"/>
  <c r="JZ1" i="5"/>
  <c r="JY1" i="5"/>
  <c r="JX1" i="5"/>
  <c r="JW1" i="5"/>
  <c r="JV1" i="5"/>
  <c r="JU1" i="5"/>
  <c r="JT1" i="5"/>
  <c r="JS1" i="5"/>
  <c r="JR1" i="5"/>
  <c r="JQ1" i="5"/>
  <c r="JP1" i="5"/>
  <c r="JO1" i="5"/>
  <c r="JN1" i="5"/>
  <c r="JM1" i="5"/>
  <c r="JL1" i="5"/>
  <c r="JK1" i="5"/>
  <c r="JJ1" i="5"/>
  <c r="JI1" i="5"/>
  <c r="JH1" i="5"/>
  <c r="JG1" i="5"/>
  <c r="JF1" i="5"/>
  <c r="JE1" i="5"/>
  <c r="JD1" i="5"/>
  <c r="JC1" i="5"/>
  <c r="JB1" i="5"/>
  <c r="JA1" i="5"/>
  <c r="IZ1" i="5"/>
  <c r="IY1" i="5"/>
  <c r="IX1" i="5"/>
  <c r="IW1" i="5"/>
  <c r="IV1" i="5"/>
  <c r="IU1" i="5"/>
  <c r="IT1" i="5"/>
  <c r="IS1" i="5"/>
  <c r="IR1" i="5"/>
  <c r="IQ1" i="5"/>
  <c r="IP1" i="5"/>
  <c r="IO1" i="5"/>
  <c r="IN1" i="5"/>
  <c r="IM1" i="5"/>
  <c r="IL1" i="5"/>
  <c r="IK1" i="5"/>
  <c r="IJ1" i="5"/>
  <c r="II1" i="5"/>
  <c r="IH1" i="5"/>
  <c r="IG1" i="5"/>
  <c r="IF1" i="5"/>
  <c r="IE1" i="5"/>
  <c r="ID1" i="5"/>
  <c r="IC1" i="5"/>
  <c r="IB1" i="5"/>
  <c r="IA1" i="5"/>
  <c r="HZ1" i="5"/>
  <c r="HY1" i="5"/>
  <c r="HX1" i="5"/>
  <c r="HW1" i="5"/>
  <c r="HV1" i="5"/>
  <c r="HU1" i="5"/>
  <c r="HT1" i="5"/>
  <c r="HS1" i="5"/>
  <c r="HR1" i="5"/>
  <c r="HQ1" i="5"/>
  <c r="HP1" i="5"/>
  <c r="HO1" i="5"/>
  <c r="HN1" i="5"/>
  <c r="HM1" i="5"/>
  <c r="HL1" i="5"/>
  <c r="HK1" i="5"/>
  <c r="HJ1" i="5"/>
  <c r="HI1" i="5"/>
  <c r="HH1" i="5"/>
  <c r="HG1" i="5"/>
  <c r="HF1" i="5"/>
  <c r="HE1" i="5"/>
  <c r="HD1" i="5"/>
  <c r="HC1" i="5"/>
  <c r="HB1" i="5"/>
  <c r="HA1" i="5"/>
  <c r="GZ1" i="5"/>
  <c r="GY1" i="5"/>
  <c r="GX1" i="5"/>
  <c r="GW1" i="5"/>
  <c r="GV1" i="5"/>
  <c r="GU1" i="5"/>
  <c r="GT1" i="5"/>
  <c r="GS1" i="5"/>
  <c r="GR1" i="5"/>
  <c r="GQ1" i="5"/>
  <c r="GP1" i="5"/>
  <c r="GO1" i="5"/>
  <c r="GN1" i="5"/>
  <c r="GM1" i="5"/>
  <c r="GL1" i="5"/>
  <c r="GK1" i="5"/>
  <c r="GJ1" i="5"/>
  <c r="GI1" i="5"/>
  <c r="GH1" i="5"/>
  <c r="GG1" i="5"/>
  <c r="GF1" i="5"/>
  <c r="GE1" i="5"/>
  <c r="GD1" i="5"/>
  <c r="GC1" i="5"/>
  <c r="GB1" i="5"/>
  <c r="GA1" i="5"/>
  <c r="FZ1" i="5"/>
  <c r="FY1" i="5"/>
  <c r="FX1" i="5"/>
  <c r="FW1" i="5"/>
  <c r="FV1" i="5"/>
  <c r="FU1" i="5"/>
  <c r="FT1" i="5"/>
  <c r="FS1" i="5"/>
  <c r="FR1" i="5"/>
  <c r="FQ1" i="5"/>
  <c r="FP1" i="5"/>
  <c r="FO1" i="5"/>
  <c r="FN1" i="5"/>
  <c r="FM1" i="5"/>
  <c r="FL1" i="5"/>
  <c r="FK1" i="5"/>
  <c r="FJ1" i="5"/>
  <c r="FI1" i="5"/>
  <c r="FH1" i="5"/>
  <c r="FG1" i="5"/>
  <c r="FF1" i="5"/>
  <c r="FE1" i="5"/>
  <c r="FD1" i="5"/>
  <c r="FC1" i="5"/>
  <c r="FB1" i="5"/>
  <c r="FA1" i="5"/>
  <c r="EZ1" i="5"/>
  <c r="EY1" i="5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E2" i="7" l="1"/>
  <c r="D2" i="7"/>
  <c r="K2" i="7"/>
  <c r="J2" i="7"/>
  <c r="H2" i="7"/>
  <c r="I2" i="7"/>
  <c r="M2" i="7"/>
  <c r="F2" i="7"/>
  <c r="L2" i="7"/>
  <c r="G2" i="7"/>
  <c r="B2" i="7"/>
  <c r="C2" i="7"/>
</calcChain>
</file>

<file path=xl/sharedStrings.xml><?xml version="1.0" encoding="utf-8"?>
<sst xmlns="http://schemas.openxmlformats.org/spreadsheetml/2006/main" count="718" uniqueCount="257">
  <si>
    <t>EQUIPMENT NAME</t>
  </si>
  <si>
    <t>ID MACHINE</t>
  </si>
  <si>
    <t>PM Freq
(Month)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</si>
  <si>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</si>
  <si>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</si>
  <si>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</si>
  <si>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</si>
  <si>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</si>
  <si>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</si>
  <si>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</si>
  <si>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</si>
  <si>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</si>
  <si>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</si>
  <si>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</si>
  <si>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</si>
  <si>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</si>
  <si>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Equipment Q'ty</t>
  </si>
  <si>
    <t>Week</t>
  </si>
  <si>
    <t>MS-01</t>
  </si>
  <si>
    <t>MS-02</t>
  </si>
  <si>
    <t>MS-03</t>
  </si>
  <si>
    <t>MS-04</t>
  </si>
  <si>
    <t>MS-05</t>
  </si>
  <si>
    <t>MS-06</t>
  </si>
  <si>
    <t>MS-07</t>
  </si>
  <si>
    <t>MS-08</t>
  </si>
  <si>
    <t>MS-09</t>
  </si>
  <si>
    <t>MS-10</t>
  </si>
  <si>
    <t>MS-11</t>
  </si>
  <si>
    <t>MS-12</t>
  </si>
  <si>
    <t>MS-13</t>
  </si>
  <si>
    <t>MS-14</t>
  </si>
  <si>
    <t>MS-15</t>
  </si>
  <si>
    <t>MS-16</t>
  </si>
  <si>
    <t>MS-17</t>
  </si>
  <si>
    <t>MS-18</t>
  </si>
  <si>
    <t>MS-19</t>
  </si>
  <si>
    <t>MS-20</t>
  </si>
  <si>
    <t>MS-21</t>
  </si>
  <si>
    <t>MS-22</t>
  </si>
  <si>
    <t>MS-23</t>
  </si>
  <si>
    <t>MS-24</t>
  </si>
  <si>
    <t>MS-25</t>
  </si>
  <si>
    <t>MS-26</t>
  </si>
  <si>
    <t>Máy dán</t>
  </si>
  <si>
    <t>ML-01</t>
  </si>
  <si>
    <t>ML-02</t>
  </si>
  <si>
    <t>Máy dán bán tự động</t>
  </si>
  <si>
    <t>ML-03</t>
  </si>
  <si>
    <t>ML-04</t>
  </si>
  <si>
    <t>ML-05</t>
  </si>
  <si>
    <t>ML-06</t>
  </si>
  <si>
    <t>Máy cắt đứng</t>
  </si>
  <si>
    <t>BC-01</t>
  </si>
  <si>
    <t>BC-02</t>
  </si>
  <si>
    <t>BC-03</t>
  </si>
  <si>
    <t>Máy cắt Blocker bán tự động đứng.</t>
  </si>
  <si>
    <t>VBC-01</t>
  </si>
  <si>
    <t>VBC-02</t>
  </si>
  <si>
    <t>Máy chặt</t>
  </si>
  <si>
    <t>MDC-01</t>
  </si>
  <si>
    <t>MDC-02</t>
  </si>
  <si>
    <t>MDC-03</t>
  </si>
  <si>
    <t>MDC-04</t>
  </si>
  <si>
    <t>MDC-05</t>
  </si>
  <si>
    <t>MDC-06</t>
  </si>
  <si>
    <t>MDC-07</t>
  </si>
  <si>
    <t>MDC-08</t>
  </si>
  <si>
    <t>MDC-09</t>
  </si>
  <si>
    <t>MDC-10</t>
  </si>
  <si>
    <t>MDC-11</t>
  </si>
  <si>
    <t>MDC-12</t>
  </si>
  <si>
    <t>MDC-13</t>
  </si>
  <si>
    <t>MDC-14</t>
  </si>
  <si>
    <t>MDC-15</t>
  </si>
  <si>
    <t>MDC-16</t>
  </si>
  <si>
    <t>MDC-17</t>
  </si>
  <si>
    <t>MDC-18</t>
  </si>
  <si>
    <t>MDC-19</t>
  </si>
  <si>
    <t>MDC-20</t>
  </si>
  <si>
    <t>MDC-21</t>
  </si>
  <si>
    <t>MDC-22</t>
  </si>
  <si>
    <t>MDC-23</t>
  </si>
  <si>
    <t>MDC-24</t>
  </si>
  <si>
    <t>MDC-25</t>
  </si>
  <si>
    <t>MDC-26</t>
  </si>
  <si>
    <t>MDC-27</t>
  </si>
  <si>
    <t>MDC-28</t>
  </si>
  <si>
    <t>MDC-29</t>
  </si>
  <si>
    <t>MDC-30</t>
  </si>
  <si>
    <t>MDC-31</t>
  </si>
  <si>
    <t>MDC-32</t>
  </si>
  <si>
    <t>MDC-33</t>
  </si>
  <si>
    <t>MDC-34</t>
  </si>
  <si>
    <t>MDC-35</t>
  </si>
  <si>
    <t>MDC-36</t>
  </si>
  <si>
    <t>MDC-37</t>
  </si>
  <si>
    <t>MDC-38</t>
  </si>
  <si>
    <t>MDC-39</t>
  </si>
  <si>
    <t>MDC-40</t>
  </si>
  <si>
    <t>MDC-41</t>
  </si>
  <si>
    <t>MDC-42</t>
  </si>
  <si>
    <t>MDC-43</t>
  </si>
  <si>
    <t>MDC-44</t>
  </si>
  <si>
    <t>MDC-45</t>
  </si>
  <si>
    <t>MDC-46</t>
  </si>
  <si>
    <t>MDC-47</t>
  </si>
  <si>
    <t>MDC-48</t>
  </si>
  <si>
    <t>MDC-49</t>
  </si>
  <si>
    <t>MDC-50</t>
  </si>
  <si>
    <t>MDC-51</t>
  </si>
  <si>
    <t>MDC-52</t>
  </si>
  <si>
    <t>MDC-53</t>
  </si>
  <si>
    <t>Máy chặt đôi tự động</t>
  </si>
  <si>
    <t>ADC-01</t>
  </si>
  <si>
    <t>ADC-02</t>
  </si>
  <si>
    <t>ADC-03</t>
  </si>
  <si>
    <t>Máy ép nhản</t>
  </si>
  <si>
    <t>LOM-01 A/B</t>
  </si>
  <si>
    <t>LOM-02 A/B</t>
  </si>
  <si>
    <t>LOM-03 A/B</t>
  </si>
  <si>
    <t>LOM-04 A/B</t>
  </si>
  <si>
    <t>LOM-05 A/B</t>
  </si>
  <si>
    <t>LOM-06 A/B</t>
  </si>
  <si>
    <t>LOM-07 A/B</t>
  </si>
  <si>
    <t>LOM-08 A/B</t>
  </si>
  <si>
    <t>LOM-09 A/B</t>
  </si>
  <si>
    <t>LOM-10 A/B</t>
  </si>
  <si>
    <t>LOM-11 A/B</t>
  </si>
  <si>
    <t>LOM-12 A/B</t>
  </si>
  <si>
    <t>LOM-13 A/B</t>
  </si>
  <si>
    <t>LOM-14 A/B</t>
  </si>
  <si>
    <t>LOM-15 A/B</t>
  </si>
  <si>
    <t>LOM-16 A/B</t>
  </si>
  <si>
    <t>LOM-17 A/B</t>
  </si>
  <si>
    <t>LOM-18 A/B</t>
  </si>
  <si>
    <t>LOM-19 A/B</t>
  </si>
  <si>
    <t>LOM-20 A/B</t>
  </si>
  <si>
    <t>LOM-21 A/B</t>
  </si>
  <si>
    <t>LOM-22 A/B</t>
  </si>
  <si>
    <t>LOM-23 A/B</t>
  </si>
  <si>
    <t>LOM-24 A/B</t>
  </si>
  <si>
    <t>LOM-25 A/B</t>
  </si>
  <si>
    <t>LOM-26 A/B</t>
  </si>
  <si>
    <t>LOM-27 A/B</t>
  </si>
  <si>
    <t>LOM-28 A/B</t>
  </si>
  <si>
    <t>LOM-29 A/B</t>
  </si>
  <si>
    <t>LOM-30 A/B</t>
  </si>
  <si>
    <t>LOM-31 A/B</t>
  </si>
  <si>
    <t>LOM-32 A/B</t>
  </si>
  <si>
    <t>LOM-33 A/B</t>
  </si>
  <si>
    <t>LOM-34 A/B</t>
  </si>
  <si>
    <t>LOM-35 A/B</t>
  </si>
  <si>
    <t>LOM-36 A/B</t>
  </si>
  <si>
    <t>LOM-37 A/B</t>
  </si>
  <si>
    <t>LOM-38 A/B</t>
  </si>
  <si>
    <t>LOM-39 A/B</t>
  </si>
  <si>
    <t>LOM-40 A/B</t>
  </si>
  <si>
    <t>LOM-41 A/B</t>
  </si>
  <si>
    <t>Máy mài</t>
  </si>
  <si>
    <t xml:space="preserve">SKY-01 </t>
  </si>
  <si>
    <t>SKY-02</t>
  </si>
  <si>
    <t>SKY-03</t>
  </si>
  <si>
    <t>SKY-04</t>
  </si>
  <si>
    <t>SKY-05</t>
  </si>
  <si>
    <t>SKY-06</t>
  </si>
  <si>
    <t>SKY-07</t>
  </si>
  <si>
    <t>SKY-08</t>
  </si>
  <si>
    <t>SKY-09</t>
  </si>
  <si>
    <t>SKY-10</t>
  </si>
  <si>
    <t>SKY-11</t>
  </si>
  <si>
    <t>SKY-12</t>
  </si>
  <si>
    <t>SKY-13</t>
  </si>
  <si>
    <t>SKY-14</t>
  </si>
  <si>
    <t>SKY-15</t>
  </si>
  <si>
    <t>SKY-16</t>
  </si>
  <si>
    <t>SKY-17</t>
  </si>
  <si>
    <t>SKY-18</t>
  </si>
  <si>
    <t>SKY-19</t>
  </si>
  <si>
    <t>SKY-20</t>
  </si>
  <si>
    <t>SKY-21</t>
  </si>
  <si>
    <t>SKY-22</t>
  </si>
  <si>
    <t>SKY-23</t>
  </si>
  <si>
    <t>Máy kiểm tra kim loại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</si>
  <si>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</si>
  <si>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</si>
  <si>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</si>
  <si>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</si>
  <si>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</si>
  <si>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</si>
  <si>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</si>
  <si>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</si>
  <si>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Máy tách</t>
  </si>
  <si>
    <t>SB-01</t>
  </si>
  <si>
    <t>SB-02</t>
  </si>
  <si>
    <t>SB-03</t>
  </si>
  <si>
    <t>SB-04</t>
  </si>
  <si>
    <t>SB-05</t>
  </si>
  <si>
    <t>SB-06</t>
  </si>
  <si>
    <t xml:space="preserve">Máy tách </t>
  </si>
  <si>
    <t>SB-07</t>
  </si>
  <si>
    <t>SB-08</t>
  </si>
  <si>
    <t>SB-09</t>
  </si>
  <si>
    <t>NO</t>
  </si>
  <si>
    <t>PM PLAN 2025</t>
  </si>
  <si>
    <t>Q.ty</t>
  </si>
  <si>
    <t>Description</t>
  </si>
  <si>
    <t>6 month</t>
  </si>
  <si>
    <t>P</t>
  </si>
  <si>
    <t xml:space="preserve">Máy ép thành hình </t>
  </si>
  <si>
    <t>Máy ép thành hình Mới</t>
  </si>
  <si>
    <t>NMS-27</t>
  </si>
  <si>
    <t>NMS-28</t>
  </si>
  <si>
    <t>NMS-29</t>
  </si>
  <si>
    <t>NMS-30</t>
  </si>
  <si>
    <t>NMS-31</t>
  </si>
  <si>
    <t>NMS-32</t>
  </si>
  <si>
    <t>NMS-33</t>
  </si>
  <si>
    <t>NMS-34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</si>
  <si>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</si>
  <si>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</si>
  <si>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</si>
  <si>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</si>
  <si>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</si>
  <si>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</si>
  <si>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</si>
  <si>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</si>
  <si>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</si>
  <si>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</si>
  <si>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</si>
  <si>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</si>
  <si>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Plan</t>
  </si>
  <si>
    <t>Done</t>
  </si>
  <si>
    <t>Delay</t>
  </si>
  <si>
    <t>PR-01</t>
  </si>
  <si>
    <t>PR-02</t>
  </si>
  <si>
    <t>PR-03</t>
  </si>
  <si>
    <t>Tank A</t>
  </si>
  <si>
    <t>Pouring</t>
  </si>
  <si>
    <t>Tank B</t>
  </si>
  <si>
    <t>Reparation Tank</t>
  </si>
  <si>
    <t>T-B 01</t>
  </si>
  <si>
    <t>T-B 02</t>
  </si>
  <si>
    <t>T-A 01</t>
  </si>
  <si>
    <t>T-A 02</t>
  </si>
  <si>
    <t>T-A 03</t>
  </si>
  <si>
    <t>RT-01</t>
  </si>
  <si>
    <t>RT-02</t>
  </si>
  <si>
    <t>RT-03</t>
  </si>
  <si>
    <t>Chiller</t>
  </si>
  <si>
    <t>CH-01</t>
  </si>
  <si>
    <t>Manual Splitting</t>
  </si>
  <si>
    <t>Auto Splitting</t>
  </si>
  <si>
    <t>AS-01</t>
  </si>
  <si>
    <t>AS-02</t>
  </si>
  <si>
    <t xml:space="preserve"> </t>
  </si>
  <si>
    <t>KẾ HOẠCH BẢO TRÌ THIẾT BỊ XƯỞNG FOAMING NĂM 2026
FOAMING EQUIPMENT MAINTENANCE PLAN 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</si>
</sst>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30"/>
      <color theme="3"/>
      <name val="Arial"/>
      <family val="2"/>
    </font>
    <font>
      <b/>
      <sz val="14"/>
      <color theme="1" tint="0.14999847407452621"/>
      <name val="Arial"/>
      <family val="2"/>
    </font>
    <font>
      <b/>
      <sz val="11"/>
      <color theme="1" tint="0.14999847407452621"/>
      <name val="Arial"/>
      <family val="2"/>
    </font>
    <font>
      <b/>
      <sz val="48"/>
      <color rgb="FF7030A0"/>
      <name val="Arial"/>
      <family val="2"/>
    </font>
    <font>
      <sz val="16"/>
      <color theme="1"/>
      <name val="Calibri"/>
      <family val="2"/>
      <scheme val="minor"/>
    </font>
    <font>
      <b/>
      <sz val="24"/>
      <color theme="1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gradientFill degree="90">
        <stop position="0">
          <color theme="4" tint="-0.49803155613879818"/>
        </stop>
        <stop position="1">
          <color theme="4" tint="-0.25098422193060094"/>
        </stop>
      </gradient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textRotation="90"/>
    </xf>
    <xf numFmtId="14" fontId="9" fillId="2" borderId="0" xfId="0" applyNumberFormat="1" applyFont="1" applyFill="1" applyAlignment="1">
      <alignment horizontal="center" vertical="center" textRotation="90"/>
    </xf>
    <xf numFmtId="14" fontId="9" fillId="0" borderId="0" xfId="0" applyNumberFormat="1" applyFont="1" applyAlignment="1">
      <alignment horizontal="center" vertical="center" textRotation="90"/>
    </xf>
    <xf numFmtId="0" fontId="10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0" borderId="6" xfId="0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15" fillId="8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9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7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10" borderId="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horizontal="right"/>
    </xf>
  </cellXfs>
  <cellStyles count="5">
    <cellStyle name="Hyperlink 2" xfId="4" xr:uid="{A4FD6146-D9E9-45B5-A0B8-DBBA25EF1915}"/>
    <cellStyle name="Normal" xfId="0" builtinId="0"/>
    <cellStyle name="Normal 2" xfId="1" xr:uid="{DB923034-7CCA-4305-A04E-11AE6BF60A13}"/>
    <cellStyle name="Normal 2 2" xfId="2" xr:uid="{D456CA71-AAB9-4EF9-800A-607A7A6FF9B2}"/>
    <cellStyle name="Percent 2" xfId="3" xr:uid="{A1D7B77C-5D75-4F1F-8DB8-CF501F504439}"/>
  </cellStyles>
  <dxfs count="56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EF87F5"/>
      <color rgb="FFF200FF"/>
      <color rgb="FF7A5496"/>
      <color rgb="FF14EC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MAINTENANCE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data!$B$2:$M$2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0-4CC7-B4AD-2614A9DC1298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CC7-B4AD-2614A9DC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68271167"/>
        <c:axId val="1668277407"/>
      </c:barChart>
      <c:lineChart>
        <c:grouping val="standard"/>
        <c:varyColors val="0"/>
        <c:ser>
          <c:idx val="2"/>
          <c:order val="2"/>
          <c:tx>
            <c:strRef>
              <c:f>data!$A$4</c:f>
              <c:strCache>
                <c:ptCount val="1"/>
                <c:pt idx="0">
                  <c:v>Delay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data!$B$1:$M$1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0-4CC7-B4AD-2614A9DC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718496"/>
        <c:axId val="1665623791"/>
      </c:lineChart>
      <c:catAx>
        <c:axId val="166827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77407"/>
        <c:crosses val="autoZero"/>
        <c:auto val="1"/>
        <c:lblAlgn val="ctr"/>
        <c:lblOffset val="100"/>
        <c:noMultiLvlLbl val="0"/>
      </c:catAx>
      <c:valAx>
        <c:axId val="166827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71167"/>
        <c:crosses val="autoZero"/>
        <c:crossBetween val="between"/>
      </c:valAx>
      <c:valAx>
        <c:axId val="16656237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718496"/>
        <c:crosses val="max"/>
        <c:crossBetween val="between"/>
      </c:valAx>
      <c:catAx>
        <c:axId val="1605718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56237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415637</xdr:colOff>
      <xdr:row>0</xdr:row>
      <xdr:rowOff>130467</xdr:rowOff>
    </xdr:from>
    <xdr:to>
      <xdr:col>3</xdr:col>
      <xdr:colOff>581891</xdr:colOff>
      <xdr:row>0</xdr:row>
      <xdr:rowOff>2008909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B8E1CDC-A223-422F-AFA8-7BFB2BB66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5637" y="130467"/>
          <a:ext cx="4835236" cy="1878442"/>
        </a:xfrm>
        <a:prstGeom prst="rect">
          <a:avLst/>
        </a:prstGeom>
      </xdr:spPr>
    </xdr:pic>
    <xdr:clientData/>
  </xdr:twoCellAnchor>
  <xdr:twoCellAnchor>
    <xdr:from>
      <xdr:col>38</xdr:col>
      <xdr:colOff>207818</xdr:colOff>
      <xdr:row>0</xdr:row>
      <xdr:rowOff>55418</xdr:rowOff>
    </xdr:from>
    <xdr:to>
      <xdr:col>56</xdr:col>
      <xdr:colOff>148936</xdr:colOff>
      <xdr:row>0</xdr:row>
      <xdr:rowOff>762000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D8C933F-2206-46A2-9E35-267273F0D90A}"/>
            </a:ext>
            <a:ext uri="{147F2762-F138-4A5C-976F-8EAC2B608ADB}">
              <a16:predDERef xmlns:a16="http://schemas.microsoft.com/office/drawing/2014/main" pred="{6B8274CE-F97E-4902-9A32-769CB0531D33}"/>
            </a:ext>
          </a:extLst>
        </xdr:cNvPr>
        <xdr:cNvSpPr/>
      </xdr:nvSpPr>
      <xdr:spPr>
        <a:xfrm>
          <a:off x="17183100" y="55418"/>
          <a:ext cx="4402281" cy="706582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Form no.: </a:t>
          </a:r>
          <a:r>
            <a:rPr lang="en-US" sz="1100" b="0" i="0">
              <a:effectLst/>
              <a:latin typeface="+mn-lt"/>
              <a:ea typeface="+mn-ea"/>
              <a:cs typeface="+mn-cs"/>
            </a:rPr>
            <a:t>MAI-F-02-P-02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Rev: 01</a:t>
          </a:r>
          <a:endParaRPr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Issue date: 15/12/2025</a:t>
          </a:r>
          <a:endParaRPr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38</xdr:col>
      <xdr:colOff>207818</xdr:colOff>
      <xdr:row>0</xdr:row>
      <xdr:rowOff>817418</xdr:rowOff>
    </xdr:from>
    <xdr:to>
      <xdr:col>56</xdr:col>
      <xdr:colOff>154132</xdr:colOff>
      <xdr:row>0</xdr:row>
      <xdr:rowOff>2216727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9BCD4BD6-198F-4D08-AB47-3FF4B3CD1B38}"/>
            </a:ext>
          </a:extLst>
        </xdr:cNvPr>
        <xdr:cNvGrpSpPr/>
      </xdr:nvGrpSpPr>
      <xdr:grpSpPr>
        <a:xfrm>
          <a:off x="17193491" y="817418"/>
          <a:ext cx="5682096" cy="1399309"/>
          <a:chOff x="12832773" y="131616"/>
          <a:chExt cx="7810500" cy="2175165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87E3621B-3D0E-F504-7650-48DEBA54B7E5}"/>
              </a:ext>
            </a:extLst>
          </xdr:cNvPr>
          <xdr:cNvGrpSpPr/>
        </xdr:nvGrpSpPr>
        <xdr:grpSpPr>
          <a:xfrm>
            <a:off x="12832773" y="131616"/>
            <a:ext cx="7810500" cy="2175165"/>
            <a:chOff x="12832773" y="131616"/>
            <a:chExt cx="7810500" cy="2175165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949E1BE-A376-D112-1D79-F976A89CE78E}"/>
                </a:ext>
              </a:extLst>
            </xdr:cNvPr>
            <xdr:cNvGrpSpPr/>
          </xdr:nvGrpSpPr>
          <xdr:grpSpPr>
            <a:xfrm>
              <a:off x="12840564" y="131616"/>
              <a:ext cx="7793182" cy="2175165"/>
              <a:chOff x="12815454" y="131617"/>
              <a:chExt cx="7793182" cy="2175165"/>
            </a:xfrm>
          </xdr:grpSpPr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7DECE2B4-BAAE-6D65-FC8C-DA51B4AD8FEC}"/>
                  </a:ext>
                </a:extLst>
              </xdr:cNvPr>
              <xdr:cNvSpPr/>
            </xdr:nvSpPr>
            <xdr:spPr>
              <a:xfrm>
                <a:off x="12815454" y="138544"/>
                <a:ext cx="2667002" cy="2168238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400" kern="12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99B96BA6-59C9-6CA7-02B6-995D246012BA}"/>
                  </a:ext>
                </a:extLst>
              </xdr:cNvPr>
              <xdr:cNvSpPr/>
            </xdr:nvSpPr>
            <xdr:spPr>
              <a:xfrm>
                <a:off x="15478987" y="135080"/>
                <a:ext cx="2670465" cy="2168238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400" kern="12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5" name="Rectangle 24">
                <a:extLst>
                  <a:ext uri="{FF2B5EF4-FFF2-40B4-BE49-F238E27FC236}">
                    <a16:creationId xmlns:a16="http://schemas.microsoft.com/office/drawing/2014/main" id="{BAE748DF-F704-FE6A-81EE-242D8FFBD9F0}"/>
                  </a:ext>
                </a:extLst>
              </xdr:cNvPr>
              <xdr:cNvSpPr/>
            </xdr:nvSpPr>
            <xdr:spPr>
              <a:xfrm>
                <a:off x="18142527" y="131617"/>
                <a:ext cx="2466109" cy="2168238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400" kern="12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D43031B9-E97F-3E16-0743-4E876A099169}"/>
                </a:ext>
              </a:extLst>
            </xdr:cNvPr>
            <xdr:cNvCxnSpPr/>
          </xdr:nvCxnSpPr>
          <xdr:spPr>
            <a:xfrm>
              <a:off x="12832773" y="692727"/>
              <a:ext cx="7810500" cy="0"/>
            </a:xfrm>
            <a:prstGeom prst="line">
              <a:avLst/>
            </a:prstGeom>
            <a:ln>
              <a:solidFill>
                <a:srgbClr val="00206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A8F4FBE1-680F-E1C1-C0D0-21F82ADB48D9}"/>
              </a:ext>
            </a:extLst>
          </xdr:cNvPr>
          <xdr:cNvGrpSpPr/>
        </xdr:nvGrpSpPr>
        <xdr:grpSpPr>
          <a:xfrm>
            <a:off x="13040591" y="187038"/>
            <a:ext cx="7512627" cy="415636"/>
            <a:chOff x="13040591" y="187038"/>
            <a:chExt cx="7512627" cy="415636"/>
          </a:xfrm>
        </xdr:grpSpPr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CA40010-7E97-8035-0795-182028CEC199}"/>
                </a:ext>
              </a:extLst>
            </xdr:cNvPr>
            <xdr:cNvSpPr txBox="1"/>
          </xdr:nvSpPr>
          <xdr:spPr>
            <a:xfrm>
              <a:off x="13040591" y="187038"/>
              <a:ext cx="2286000" cy="41563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kern="1200">
                  <a:latin typeface="Arial" panose="020B0604020202020204" pitchFamily="34" charset="0"/>
                  <a:cs typeface="Arial" panose="020B0604020202020204" pitchFamily="34" charset="0"/>
                </a:rPr>
                <a:t>Prepare</a:t>
              </a: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71A3CCF-64F6-E289-2C1D-176541C2BDF6}"/>
                </a:ext>
              </a:extLst>
            </xdr:cNvPr>
            <xdr:cNvSpPr txBox="1"/>
          </xdr:nvSpPr>
          <xdr:spPr>
            <a:xfrm>
              <a:off x="18267218" y="187038"/>
              <a:ext cx="2286000" cy="41563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kern="1200">
                  <a:latin typeface="Arial" panose="020B0604020202020204" pitchFamily="34" charset="0"/>
                  <a:cs typeface="Arial" panose="020B0604020202020204" pitchFamily="34" charset="0"/>
                </a:rPr>
                <a:t>Approve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8C8167A-481C-5150-1FC4-8EA8FA1C5223}"/>
                </a:ext>
              </a:extLst>
            </xdr:cNvPr>
            <xdr:cNvSpPr txBox="1"/>
          </xdr:nvSpPr>
          <xdr:spPr>
            <a:xfrm>
              <a:off x="15648709" y="187038"/>
              <a:ext cx="2286000" cy="41563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kern="1200">
                  <a:latin typeface="Arial" panose="020B0604020202020204" pitchFamily="34" charset="0"/>
                  <a:cs typeface="Arial" panose="020B0604020202020204" pitchFamily="34" charset="0"/>
                </a:rPr>
                <a:t>Verify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54427</xdr:colOff>
      <xdr:row>0</xdr:row>
      <xdr:rowOff>40821</xdr:rowOff>
    </xdr:from>
    <xdr:to>
      <xdr:col>0</xdr:col>
      <xdr:colOff>1755320</xdr:colOff>
      <xdr:row>2</xdr:row>
      <xdr:rowOff>27214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91C711C-77CD-4F57-A958-1967B306A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27" y="40821"/>
          <a:ext cx="1700893" cy="612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6</xdr:row>
      <xdr:rowOff>52387</xdr:rowOff>
    </xdr:from>
    <xdr:to>
      <xdr:col>13</xdr:col>
      <xdr:colOff>28575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369BC-3D9F-8203-2ED3-8543E1DDB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tigroup.sharepoint.com/Users/ericawaite/Desktop/SmartSheet_Temps/ActionPlans/Temp_ActionIte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 Items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C08B-F0E6-4FF1-9CAB-217193903834}">
  <sheetPr>
    <pageSetUpPr fitToPage="1"/>
  </sheetPr>
  <dimension ref="A1:BG34"/>
  <sheetViews>
    <sheetView showGridLines="0" tabSelected="1" zoomScale="55" zoomScaleNormal="55" zoomScaleSheetLayoutView="70" workbookViewId="0">
      <selection activeCell="G5" sqref="G5"/>
    </sheetView>
  </sheetViews>
  <sheetFormatPr defaultColWidth="9.109375" defaultRowHeight="14.4" x14ac:dyDescent="0.3"/>
  <cols>
    <col min="1" max="1" width="9.109375" style="12"/>
    <col min="2" max="2" width="33.33203125" style="5" customWidth="1"/>
    <col min="3" max="3" width="25.5546875" style="5" customWidth="1"/>
    <col min="4" max="4" width="11.88671875" style="5" customWidth="1"/>
    <col min="5" max="5" width="14.33203125" style="5" customWidth="1"/>
    <col min="6" max="57" width="4.6640625" style="12" customWidth="1"/>
    <col min="58" max="16384" width="9.109375" style="12"/>
  </cols>
  <sheetData>
    <row r="1" spans="1:59" ht="183.75" customHeight="1" x14ac:dyDescent="1">
      <c r="B1" s="50"/>
      <c r="C1" s="50"/>
      <c r="D1" s="50"/>
      <c r="E1" s="53" t="s">
        <v>256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</row>
    <row r="2" spans="1:59" s="17" customFormat="1" ht="34.5" customHeight="1" x14ac:dyDescent="0.3">
      <c r="A2" s="42" t="s">
        <v>203</v>
      </c>
      <c r="B2" s="51" t="s">
        <v>0</v>
      </c>
      <c r="C2" s="51" t="s">
        <v>1</v>
      </c>
      <c r="D2" s="52" t="s">
        <v>2</v>
      </c>
      <c r="E2" s="22" t="s">
        <v>3</v>
      </c>
      <c r="F2" s="46" t="s">
        <v>4</v>
      </c>
      <c r="G2" s="47"/>
      <c r="H2" s="47"/>
      <c r="I2" s="47"/>
      <c r="J2" s="48"/>
      <c r="K2" s="46" t="s">
        <v>5</v>
      </c>
      <c r="L2" s="47"/>
      <c r="M2" s="47"/>
      <c r="N2" s="49"/>
      <c r="O2" s="43" t="s">
        <v>6</v>
      </c>
      <c r="P2" s="44"/>
      <c r="Q2" s="44"/>
      <c r="R2" s="45"/>
      <c r="S2" s="43" t="s">
        <v>7</v>
      </c>
      <c r="T2" s="44"/>
      <c r="U2" s="44"/>
      <c r="V2" s="45"/>
      <c r="W2" s="43" t="s">
        <v>8</v>
      </c>
      <c r="X2" s="44"/>
      <c r="Y2" s="44"/>
      <c r="Z2" s="45"/>
      <c r="AA2" s="43" t="s">
        <v>9</v>
      </c>
      <c r="AB2" s="44"/>
      <c r="AC2" s="44"/>
      <c r="AD2" s="45"/>
      <c r="AE2" s="54" t="s">
        <v>10</v>
      </c>
      <c r="AF2" s="54"/>
      <c r="AG2" s="54"/>
      <c r="AH2" s="54"/>
      <c r="AI2" s="54"/>
      <c r="AJ2" s="54" t="s">
        <v>11</v>
      </c>
      <c r="AK2" s="54"/>
      <c r="AL2" s="54"/>
      <c r="AM2" s="54"/>
      <c r="AN2" s="54"/>
      <c r="AO2" s="54" t="s">
        <v>12</v>
      </c>
      <c r="AP2" s="54"/>
      <c r="AQ2" s="54"/>
      <c r="AR2" s="54"/>
      <c r="AS2" s="54" t="s">
        <v>13</v>
      </c>
      <c r="AT2" s="54"/>
      <c r="AU2" s="54"/>
      <c r="AV2" s="54"/>
      <c r="AW2" s="54"/>
      <c r="AX2" s="43" t="s">
        <v>14</v>
      </c>
      <c r="AY2" s="44"/>
      <c r="AZ2" s="44"/>
      <c r="BA2" s="45"/>
      <c r="BB2" s="43" t="s">
        <v>15</v>
      </c>
      <c r="BC2" s="44"/>
      <c r="BD2" s="44"/>
      <c r="BE2" s="45"/>
    </row>
    <row r="3" spans="1:59" s="17" customFormat="1" ht="34.5" customHeight="1" x14ac:dyDescent="0.3">
      <c r="A3" s="42"/>
      <c r="B3" s="51"/>
      <c r="C3" s="51"/>
      <c r="D3" s="52"/>
      <c r="E3" s="22" t="s">
        <v>16</v>
      </c>
      <c r="F3" s="21">
        <f t="shared" ref="F3:AK3" si="0">COUNTA(F5:F1048576)</f>
        <v>0</v>
      </c>
      <c r="G3" s="21">
        <f t="shared" si="0"/>
        <v>1</v>
      </c>
      <c r="H3" s="21">
        <f t="shared" si="0"/>
        <v>1</v>
      </c>
      <c r="I3" s="21">
        <f t="shared" si="0"/>
        <v>1</v>
      </c>
      <c r="J3" s="21">
        <f t="shared" si="0"/>
        <v>0</v>
      </c>
      <c r="K3" s="21">
        <f t="shared" si="0"/>
        <v>0</v>
      </c>
      <c r="L3" s="21">
        <f t="shared" si="0"/>
        <v>0</v>
      </c>
      <c r="M3" s="21">
        <f t="shared" si="0"/>
        <v>0</v>
      </c>
      <c r="N3" s="21">
        <f t="shared" si="0"/>
        <v>1</v>
      </c>
      <c r="O3" s="21">
        <f t="shared" si="0"/>
        <v>2</v>
      </c>
      <c r="P3" s="21">
        <f t="shared" si="0"/>
        <v>2</v>
      </c>
      <c r="Q3" s="21">
        <f t="shared" si="0"/>
        <v>1</v>
      </c>
      <c r="R3" s="21">
        <f t="shared" si="0"/>
        <v>1</v>
      </c>
      <c r="S3" s="21">
        <f t="shared" si="0"/>
        <v>2</v>
      </c>
      <c r="T3" s="21">
        <f t="shared" si="0"/>
        <v>2</v>
      </c>
      <c r="U3" s="21">
        <f t="shared" si="0"/>
        <v>2</v>
      </c>
      <c r="V3" s="21">
        <f t="shared" si="0"/>
        <v>1</v>
      </c>
      <c r="W3" s="21">
        <f t="shared" si="0"/>
        <v>1</v>
      </c>
      <c r="X3" s="21">
        <f t="shared" si="0"/>
        <v>1</v>
      </c>
      <c r="Y3" s="21">
        <f t="shared" si="0"/>
        <v>1</v>
      </c>
      <c r="Z3" s="21">
        <f t="shared" si="0"/>
        <v>0</v>
      </c>
      <c r="AA3" s="21">
        <f t="shared" si="0"/>
        <v>1</v>
      </c>
      <c r="AB3" s="21">
        <f t="shared" si="0"/>
        <v>0</v>
      </c>
      <c r="AC3" s="21">
        <f t="shared" si="0"/>
        <v>0</v>
      </c>
      <c r="AD3" s="21">
        <f t="shared" si="0"/>
        <v>0</v>
      </c>
      <c r="AE3" s="21">
        <f t="shared" si="0"/>
        <v>1</v>
      </c>
      <c r="AF3" s="21">
        <f t="shared" si="0"/>
        <v>1</v>
      </c>
      <c r="AG3" s="21">
        <f t="shared" si="0"/>
        <v>1</v>
      </c>
      <c r="AH3" s="21">
        <f t="shared" si="0"/>
        <v>0</v>
      </c>
      <c r="AI3" s="21">
        <f t="shared" si="0"/>
        <v>0</v>
      </c>
      <c r="AJ3" s="21">
        <f t="shared" si="0"/>
        <v>0</v>
      </c>
      <c r="AK3" s="21">
        <f t="shared" si="0"/>
        <v>0</v>
      </c>
      <c r="AL3" s="21">
        <f t="shared" ref="AL3:BE3" si="1">COUNTA(AL5:AL1048576)</f>
        <v>0</v>
      </c>
      <c r="AM3" s="21">
        <f t="shared" si="1"/>
        <v>0</v>
      </c>
      <c r="AN3" s="21">
        <f t="shared" si="1"/>
        <v>0</v>
      </c>
      <c r="AO3" s="21">
        <f t="shared" si="1"/>
        <v>1</v>
      </c>
      <c r="AP3" s="21">
        <f t="shared" si="1"/>
        <v>1</v>
      </c>
      <c r="AQ3" s="21">
        <f t="shared" si="1"/>
        <v>1</v>
      </c>
      <c r="AR3" s="21">
        <f t="shared" si="1"/>
        <v>1</v>
      </c>
      <c r="AS3" s="21">
        <f t="shared" si="1"/>
        <v>1</v>
      </c>
      <c r="AT3" s="21">
        <f t="shared" si="1"/>
        <v>1</v>
      </c>
      <c r="AU3" s="21">
        <f t="shared" si="1"/>
        <v>1</v>
      </c>
      <c r="AV3" s="21">
        <f t="shared" si="1"/>
        <v>1</v>
      </c>
      <c r="AW3" s="21">
        <f t="shared" si="1"/>
        <v>0</v>
      </c>
      <c r="AX3" s="21">
        <f t="shared" si="1"/>
        <v>0</v>
      </c>
      <c r="AY3" s="21">
        <f t="shared" si="1"/>
        <v>0</v>
      </c>
      <c r="AZ3" s="21">
        <f t="shared" si="1"/>
        <v>0</v>
      </c>
      <c r="BA3" s="38">
        <f t="shared" si="1"/>
        <v>0</v>
      </c>
      <c r="BB3" s="38">
        <f t="shared" si="1"/>
        <v>1</v>
      </c>
      <c r="BC3" s="38">
        <f t="shared" si="1"/>
        <v>0</v>
      </c>
      <c r="BD3" s="38">
        <f t="shared" si="1"/>
        <v>0</v>
      </c>
      <c r="BE3" s="38">
        <f t="shared" si="1"/>
        <v>0</v>
      </c>
    </row>
    <row r="4" spans="1:59" s="17" customFormat="1" ht="25.5" customHeight="1" x14ac:dyDescent="0.3">
      <c r="A4" s="42"/>
      <c r="B4" s="51"/>
      <c r="C4" s="51"/>
      <c r="D4" s="52"/>
      <c r="E4" s="22" t="s">
        <v>17</v>
      </c>
      <c r="F4" s="21">
        <v>1</v>
      </c>
      <c r="G4" s="21">
        <v>2</v>
      </c>
      <c r="H4" s="21">
        <v>3</v>
      </c>
      <c r="I4" s="21">
        <v>4</v>
      </c>
      <c r="J4" s="21">
        <v>5</v>
      </c>
      <c r="K4" s="21">
        <v>6</v>
      </c>
      <c r="L4" s="21">
        <v>7</v>
      </c>
      <c r="M4" s="21">
        <v>8</v>
      </c>
      <c r="N4" s="21">
        <v>9</v>
      </c>
      <c r="O4" s="21">
        <v>10</v>
      </c>
      <c r="P4" s="21">
        <v>11</v>
      </c>
      <c r="Q4" s="21">
        <v>12</v>
      </c>
      <c r="R4" s="21">
        <v>13</v>
      </c>
      <c r="S4" s="21">
        <v>14</v>
      </c>
      <c r="T4" s="21">
        <v>15</v>
      </c>
      <c r="U4" s="21">
        <v>16</v>
      </c>
      <c r="V4" s="21">
        <v>17</v>
      </c>
      <c r="W4" s="21">
        <v>18</v>
      </c>
      <c r="X4" s="21">
        <v>19</v>
      </c>
      <c r="Y4" s="21">
        <v>20</v>
      </c>
      <c r="Z4" s="21">
        <v>21</v>
      </c>
      <c r="AA4" s="21">
        <v>22</v>
      </c>
      <c r="AB4" s="21">
        <v>23</v>
      </c>
      <c r="AC4" s="21">
        <v>24</v>
      </c>
      <c r="AD4" s="21">
        <v>25</v>
      </c>
      <c r="AE4" s="21">
        <v>26</v>
      </c>
      <c r="AF4" s="21">
        <v>27</v>
      </c>
      <c r="AG4" s="21">
        <v>28</v>
      </c>
      <c r="AH4" s="21">
        <v>29</v>
      </c>
      <c r="AI4" s="21">
        <v>30</v>
      </c>
      <c r="AJ4" s="21">
        <v>31</v>
      </c>
      <c r="AK4" s="21">
        <v>32</v>
      </c>
      <c r="AL4" s="21">
        <v>33</v>
      </c>
      <c r="AM4" s="21">
        <v>34</v>
      </c>
      <c r="AN4" s="21">
        <v>35</v>
      </c>
      <c r="AO4" s="21">
        <v>36</v>
      </c>
      <c r="AP4" s="21">
        <v>37</v>
      </c>
      <c r="AQ4" s="21">
        <v>38</v>
      </c>
      <c r="AR4" s="21">
        <v>39</v>
      </c>
      <c r="AS4" s="21">
        <v>40</v>
      </c>
      <c r="AT4" s="21">
        <v>41</v>
      </c>
      <c r="AU4" s="21">
        <v>42</v>
      </c>
      <c r="AV4" s="21">
        <v>43</v>
      </c>
      <c r="AW4" s="21">
        <v>44</v>
      </c>
      <c r="AX4" s="21">
        <v>45</v>
      </c>
      <c r="AY4" s="21">
        <v>46</v>
      </c>
      <c r="AZ4" s="21">
        <v>47</v>
      </c>
      <c r="BA4" s="21">
        <v>48</v>
      </c>
      <c r="BB4" s="21">
        <v>49</v>
      </c>
      <c r="BC4" s="21">
        <v>50</v>
      </c>
      <c r="BD4" s="21">
        <v>51</v>
      </c>
      <c r="BE4" s="21">
        <v>52</v>
      </c>
      <c r="BF4" s="16"/>
      <c r="BG4" s="16"/>
    </row>
    <row r="5" spans="1:59" ht="37.5" customHeight="1" x14ac:dyDescent="0.3">
      <c r="A5" s="24">
        <v>1</v>
      </c>
      <c r="B5" s="26" t="s">
        <v>238</v>
      </c>
      <c r="C5" s="23" t="s">
        <v>234</v>
      </c>
      <c r="D5" s="23">
        <v>6</v>
      </c>
      <c r="E5" s="23"/>
      <c r="G5" s="33" t="b">
        <v>0</v>
      </c>
      <c r="H5" s="25"/>
      <c r="I5" s="25"/>
      <c r="J5" s="25"/>
      <c r="K5" s="25"/>
      <c r="L5" s="25"/>
      <c r="M5" s="37"/>
      <c r="N5" s="34"/>
      <c r="O5" s="34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33" t="b">
        <v>0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</row>
    <row r="6" spans="1:59" ht="37.5" customHeight="1" x14ac:dyDescent="0.3">
      <c r="A6" s="24">
        <v>2</v>
      </c>
      <c r="B6" s="26" t="s">
        <v>238</v>
      </c>
      <c r="C6" s="23" t="s">
        <v>235</v>
      </c>
      <c r="D6" s="23">
        <v>6</v>
      </c>
      <c r="E6" s="32"/>
      <c r="F6" s="20"/>
      <c r="G6" s="20"/>
      <c r="H6" s="33" t="b">
        <v>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33" t="b">
        <v>0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</row>
    <row r="7" spans="1:59" ht="37.5" customHeight="1" x14ac:dyDescent="0.3">
      <c r="A7" s="24">
        <v>3</v>
      </c>
      <c r="B7" s="26" t="s">
        <v>238</v>
      </c>
      <c r="C7" s="23" t="s">
        <v>236</v>
      </c>
      <c r="D7" s="23">
        <v>6</v>
      </c>
      <c r="E7" s="32"/>
      <c r="F7" s="20"/>
      <c r="G7" s="20"/>
      <c r="H7" s="20"/>
      <c r="I7" s="33" t="b">
        <v>0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33" t="b">
        <v>0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</row>
    <row r="8" spans="1:59" ht="37.5" customHeight="1" x14ac:dyDescent="0.3">
      <c r="A8" s="24">
        <v>4</v>
      </c>
      <c r="B8" s="27" t="s">
        <v>237</v>
      </c>
      <c r="C8" s="23" t="s">
        <v>243</v>
      </c>
      <c r="D8" s="23">
        <v>12</v>
      </c>
      <c r="E8" s="32"/>
      <c r="F8" s="20"/>
      <c r="G8" s="20"/>
      <c r="H8" s="20"/>
      <c r="I8" s="20"/>
      <c r="J8" s="20"/>
      <c r="K8" s="20"/>
      <c r="L8" s="20"/>
      <c r="M8" s="20"/>
      <c r="N8" s="39" t="b">
        <v>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</row>
    <row r="9" spans="1:59" ht="37.5" customHeight="1" x14ac:dyDescent="0.3">
      <c r="A9" s="24">
        <v>5</v>
      </c>
      <c r="B9" s="27" t="s">
        <v>237</v>
      </c>
      <c r="C9" s="23" t="s">
        <v>244</v>
      </c>
      <c r="D9" s="23">
        <v>12</v>
      </c>
      <c r="E9" s="32"/>
      <c r="F9" s="20"/>
      <c r="G9" s="20"/>
      <c r="H9" s="20"/>
      <c r="I9" s="20"/>
      <c r="J9" s="20"/>
      <c r="K9" s="20"/>
      <c r="L9" s="20"/>
      <c r="M9" s="20"/>
      <c r="N9" s="20"/>
      <c r="O9" s="39" t="b">
        <v>0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</row>
    <row r="10" spans="1:59" ht="37.5" customHeight="1" x14ac:dyDescent="0.3">
      <c r="A10" s="24">
        <v>6</v>
      </c>
      <c r="B10" s="27" t="s">
        <v>237</v>
      </c>
      <c r="C10" s="23" t="s">
        <v>245</v>
      </c>
      <c r="D10" s="23">
        <v>12</v>
      </c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9" t="b">
        <v>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</row>
    <row r="11" spans="1:59" ht="37.5" customHeight="1" x14ac:dyDescent="0.3">
      <c r="A11" s="24">
        <v>7</v>
      </c>
      <c r="B11" s="28" t="s">
        <v>239</v>
      </c>
      <c r="C11" s="23" t="s">
        <v>241</v>
      </c>
      <c r="D11" s="23">
        <v>12</v>
      </c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40" t="b">
        <v>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spans="1:59" ht="37.5" customHeight="1" x14ac:dyDescent="0.3">
      <c r="A12" s="24">
        <v>8</v>
      </c>
      <c r="B12" s="28" t="s">
        <v>239</v>
      </c>
      <c r="C12" s="23" t="s">
        <v>242</v>
      </c>
      <c r="D12" s="23">
        <v>12</v>
      </c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40" t="b">
        <v>0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 spans="1:59" ht="37.5" customHeight="1" x14ac:dyDescent="0.3">
      <c r="A13" s="24">
        <v>9</v>
      </c>
      <c r="B13" s="29" t="s">
        <v>240</v>
      </c>
      <c r="C13" s="23" t="s">
        <v>246</v>
      </c>
      <c r="D13" s="23">
        <v>12</v>
      </c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35" t="b">
        <v>0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</row>
    <row r="14" spans="1:59" ht="37.5" customHeight="1" x14ac:dyDescent="0.3">
      <c r="A14" s="24">
        <v>10</v>
      </c>
      <c r="B14" s="29" t="s">
        <v>240</v>
      </c>
      <c r="C14" s="23" t="s">
        <v>247</v>
      </c>
      <c r="D14" s="23">
        <v>12</v>
      </c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35" t="b">
        <v>0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</row>
    <row r="15" spans="1:59" ht="37.5" customHeight="1" x14ac:dyDescent="0.3">
      <c r="A15" s="24">
        <v>11</v>
      </c>
      <c r="B15" s="29" t="s">
        <v>240</v>
      </c>
      <c r="C15" s="23" t="s">
        <v>248</v>
      </c>
      <c r="D15" s="23">
        <v>12</v>
      </c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35" t="b">
        <v>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</row>
    <row r="16" spans="1:59" ht="37.5" customHeight="1" x14ac:dyDescent="0.3">
      <c r="A16" s="24">
        <v>12</v>
      </c>
      <c r="B16" s="30" t="s">
        <v>249</v>
      </c>
      <c r="C16" s="23" t="s">
        <v>250</v>
      </c>
      <c r="D16" s="23">
        <v>6</v>
      </c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36" t="b">
        <v>0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36" t="b">
        <v>0</v>
      </c>
      <c r="BD16" s="20"/>
      <c r="BE16" s="20"/>
    </row>
    <row r="17" spans="1:57" ht="37.5" customHeight="1" x14ac:dyDescent="0.3">
      <c r="A17" s="24">
        <v>13</v>
      </c>
      <c r="B17" s="31" t="s">
        <v>251</v>
      </c>
      <c r="C17" s="23" t="s">
        <v>18</v>
      </c>
      <c r="D17" s="23">
        <v>6</v>
      </c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41" t="b">
        <v>0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41" t="b">
        <v>0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</row>
    <row r="18" spans="1:57" ht="37.5" customHeight="1" x14ac:dyDescent="0.3">
      <c r="A18" s="24">
        <v>14</v>
      </c>
      <c r="B18" s="31" t="s">
        <v>251</v>
      </c>
      <c r="C18" s="23" t="s">
        <v>19</v>
      </c>
      <c r="D18" s="23">
        <v>6</v>
      </c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1" t="b">
        <v>0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41" t="b">
        <v>0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</row>
    <row r="19" spans="1:57" ht="37.5" customHeight="1" x14ac:dyDescent="0.3">
      <c r="A19" s="24">
        <v>15</v>
      </c>
      <c r="B19" s="31" t="s">
        <v>251</v>
      </c>
      <c r="C19" s="23" t="s">
        <v>20</v>
      </c>
      <c r="D19" s="23">
        <v>6</v>
      </c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41" t="b">
        <v>0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41" t="b">
        <v>0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</row>
    <row r="20" spans="1:57" ht="37.5" customHeight="1" x14ac:dyDescent="0.3">
      <c r="A20" s="24">
        <v>16</v>
      </c>
      <c r="B20" s="31" t="s">
        <v>251</v>
      </c>
      <c r="C20" s="23" t="s">
        <v>21</v>
      </c>
      <c r="D20" s="23">
        <v>6</v>
      </c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1" t="b">
        <v>0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41" t="b">
        <v>0</v>
      </c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</row>
    <row r="21" spans="1:57" ht="37.5" customHeight="1" x14ac:dyDescent="0.3">
      <c r="A21" s="24">
        <v>17</v>
      </c>
      <c r="B21" s="31" t="s">
        <v>251</v>
      </c>
      <c r="C21" s="23" t="s">
        <v>22</v>
      </c>
      <c r="D21" s="23">
        <v>6</v>
      </c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41" t="b">
        <v>0</v>
      </c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41" t="b">
        <v>0</v>
      </c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</row>
    <row r="22" spans="1:57" ht="37.5" customHeight="1" x14ac:dyDescent="0.3">
      <c r="A22" s="24">
        <v>18</v>
      </c>
      <c r="B22" s="31" t="s">
        <v>251</v>
      </c>
      <c r="C22" s="23" t="s">
        <v>23</v>
      </c>
      <c r="D22" s="23">
        <v>6</v>
      </c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41" t="b">
        <v>0</v>
      </c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41" t="b">
        <v>0</v>
      </c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</row>
    <row r="23" spans="1:57" ht="37.5" customHeight="1" x14ac:dyDescent="0.3">
      <c r="A23" s="24">
        <v>19</v>
      </c>
      <c r="B23" s="31" t="s">
        <v>252</v>
      </c>
      <c r="C23" s="23" t="s">
        <v>253</v>
      </c>
      <c r="D23" s="23">
        <v>6</v>
      </c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41" t="b">
        <v>0</v>
      </c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41" t="b">
        <v>0</v>
      </c>
      <c r="AV23" s="20"/>
      <c r="AW23" s="20"/>
      <c r="AX23" s="20"/>
      <c r="AY23" s="20"/>
      <c r="AZ23" s="20"/>
      <c r="BA23" s="20"/>
      <c r="BB23" s="20"/>
      <c r="BC23" s="20"/>
      <c r="BD23" s="20"/>
      <c r="BE23" s="20"/>
    </row>
    <row r="24" spans="1:57" ht="37.5" customHeight="1" x14ac:dyDescent="0.3">
      <c r="A24" s="24">
        <v>20</v>
      </c>
      <c r="B24" s="31" t="s">
        <v>252</v>
      </c>
      <c r="C24" s="23" t="s">
        <v>254</v>
      </c>
      <c r="D24" s="23">
        <v>6</v>
      </c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41" t="b">
        <v>0</v>
      </c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41" t="b">
        <v>0</v>
      </c>
      <c r="AW24" s="20"/>
      <c r="AX24" s="20"/>
      <c r="AY24" s="20"/>
      <c r="AZ24" s="20"/>
      <c r="BA24" s="20"/>
      <c r="BB24" s="20"/>
      <c r="BC24" s="20"/>
      <c r="BD24" s="20"/>
      <c r="BE24" s="20"/>
    </row>
    <row r="25" spans="1:57" x14ac:dyDescent="0.3">
      <c r="U25" s="12" t="s">
        <v>255</v>
      </c>
    </row>
    <row r="26" spans="1:57" customFormat="1" x14ac:dyDescent="0.3"/>
    <row r="27" spans="1:57" customFormat="1" x14ac:dyDescent="0.3"/>
    <row r="28" spans="1:57" customFormat="1" x14ac:dyDescent="0.3"/>
    <row r="29" spans="1:57" customFormat="1" x14ac:dyDescent="0.3"/>
    <row r="30" spans="1:57" customFormat="1" x14ac:dyDescent="0.3"/>
    <row r="31" spans="1:57" customFormat="1" x14ac:dyDescent="0.3"/>
    <row r="32" spans="1:57" customFormat="1" x14ac:dyDescent="0.3"/>
    <row r="33" customFormat="1" x14ac:dyDescent="0.3"/>
    <row r="34" customFormat="1" x14ac:dyDescent="0.3"/>
  </sheetData>
  <mergeCells count="18">
    <mergeCell ref="BB2:BE2"/>
    <mergeCell ref="F2:J2"/>
    <mergeCell ref="K2:N2"/>
    <mergeCell ref="B1:D1"/>
    <mergeCell ref="B2:B4"/>
    <mergeCell ref="C2:C4"/>
    <mergeCell ref="D2:D4"/>
    <mergeCell ref="E1:AT1"/>
    <mergeCell ref="AJ2:AN2"/>
    <mergeCell ref="AO2:AR2"/>
    <mergeCell ref="AS2:AW2"/>
    <mergeCell ref="AX2:BA2"/>
    <mergeCell ref="AE2:AI2"/>
    <mergeCell ref="A2:A4"/>
    <mergeCell ref="O2:R2"/>
    <mergeCell ref="S2:V2"/>
    <mergeCell ref="W2:Z2"/>
    <mergeCell ref="AA2:AD2"/>
  </mergeCells>
  <phoneticPr fontId="8" type="noConversion"/>
  <conditionalFormatting sqref="G5 AE5 H6 AF6 I7 AG7 N8 O9 P10 S11 T12 W13 X14 Y15 AA16">
    <cfRule type="expression" dxfId="55" priority="3240">
      <formula>F5:BE24="Delay"</formula>
    </cfRule>
    <cfRule type="expression" dxfId="54" priority="3241">
      <formula>F5:BE24="Done"</formula>
    </cfRule>
  </conditionalFormatting>
  <conditionalFormatting sqref="H5">
    <cfRule type="expression" dxfId="53" priority="3213">
      <formula>H5:BE24="Done"</formula>
    </cfRule>
    <cfRule type="expression" dxfId="52" priority="3212">
      <formula>H5:BE24="Delay"</formula>
    </cfRule>
  </conditionalFormatting>
  <conditionalFormatting sqref="I5">
    <cfRule type="expression" dxfId="51" priority="3221">
      <formula>I5:BE24="Done"</formula>
    </cfRule>
    <cfRule type="expression" dxfId="50" priority="3220">
      <formula>I5:BE24="Delay"</formula>
    </cfRule>
  </conditionalFormatting>
  <conditionalFormatting sqref="J5">
    <cfRule type="expression" dxfId="49" priority="3229">
      <formula>J5:BE24="Delay"</formula>
    </cfRule>
    <cfRule type="expression" dxfId="48" priority="3228">
      <formula>J5:BE24="Done"</formula>
    </cfRule>
  </conditionalFormatting>
  <conditionalFormatting sqref="L5">
    <cfRule type="expression" dxfId="47" priority="3234">
      <formula>L5:BE24="Delay"</formula>
    </cfRule>
    <cfRule type="expression" dxfId="46" priority="3235">
      <formula>L5:BE24="Done"</formula>
    </cfRule>
  </conditionalFormatting>
  <conditionalFormatting sqref="M5">
    <cfRule type="expression" dxfId="45" priority="3239">
      <formula>M5:BE24="Done"</formula>
    </cfRule>
    <cfRule type="expression" dxfId="44" priority="3238">
      <formula>M5:BE24="Delay"</formula>
    </cfRule>
  </conditionalFormatting>
  <conditionalFormatting sqref="O17">
    <cfRule type="expression" dxfId="43" priority="32">
      <formula>N17:BM36="Done"</formula>
    </cfRule>
    <cfRule type="expression" dxfId="42" priority="31">
      <formula>N17:BM36="Delay"</formula>
    </cfRule>
  </conditionalFormatting>
  <conditionalFormatting sqref="P18">
    <cfRule type="expression" dxfId="41" priority="30">
      <formula>O18:BN37="Done"</formula>
    </cfRule>
    <cfRule type="expression" dxfId="40" priority="29">
      <formula>O18:BN37="Delay"</formula>
    </cfRule>
  </conditionalFormatting>
  <conditionalFormatting sqref="Q19">
    <cfRule type="expression" dxfId="39" priority="28">
      <formula>P19:BO38="Done"</formula>
    </cfRule>
    <cfRule type="expression" dxfId="38" priority="27">
      <formula>P19:BO38="Delay"</formula>
    </cfRule>
  </conditionalFormatting>
  <conditionalFormatting sqref="R20">
    <cfRule type="expression" dxfId="37" priority="26">
      <formula>Q20:BP39="Done"</formula>
    </cfRule>
    <cfRule type="expression" dxfId="36" priority="25">
      <formula>Q20:BP39="Delay"</formula>
    </cfRule>
  </conditionalFormatting>
  <conditionalFormatting sqref="S21">
    <cfRule type="expression" dxfId="35" priority="23">
      <formula>R21:BQ40="Delay"</formula>
    </cfRule>
    <cfRule type="expression" dxfId="34" priority="24">
      <formula>R21:BQ40="Done"</formula>
    </cfRule>
  </conditionalFormatting>
  <conditionalFormatting sqref="T22">
    <cfRule type="expression" dxfId="33" priority="22">
      <formula>S22:BR41="Done"</formula>
    </cfRule>
    <cfRule type="expression" dxfId="32" priority="21">
      <formula>S22:BR41="Delay"</formula>
    </cfRule>
  </conditionalFormatting>
  <conditionalFormatting sqref="U23">
    <cfRule type="expression" dxfId="31" priority="20">
      <formula>T23:BS42="Done"</formula>
    </cfRule>
    <cfRule type="expression" dxfId="30" priority="19">
      <formula>T23:BS42="Delay"</formula>
    </cfRule>
  </conditionalFormatting>
  <conditionalFormatting sqref="V24">
    <cfRule type="expression" dxfId="29" priority="18">
      <formula>U24:BT43="Done"</formula>
    </cfRule>
    <cfRule type="expression" dxfId="28" priority="17">
      <formula>U24:BT43="Delay"</formula>
    </cfRule>
  </conditionalFormatting>
  <conditionalFormatting sqref="AO17">
    <cfRule type="expression" dxfId="27" priority="16">
      <formula>AN17:CM36="Done"</formula>
    </cfRule>
    <cfRule type="expression" dxfId="26" priority="15">
      <formula>AN17:CM36="Delay"</formula>
    </cfRule>
  </conditionalFormatting>
  <conditionalFormatting sqref="AP18">
    <cfRule type="expression" dxfId="25" priority="14">
      <formula>AO18:CN37="Done"</formula>
    </cfRule>
    <cfRule type="expression" dxfId="24" priority="13">
      <formula>AO18:CN37="Delay"</formula>
    </cfRule>
  </conditionalFormatting>
  <conditionalFormatting sqref="AQ19">
    <cfRule type="expression" dxfId="23" priority="11">
      <formula>AP19:CO38="Delay"</formula>
    </cfRule>
    <cfRule type="expression" dxfId="22" priority="12">
      <formula>AP19:CO38="Done"</formula>
    </cfRule>
  </conditionalFormatting>
  <conditionalFormatting sqref="AR20">
    <cfRule type="expression" dxfId="21" priority="10">
      <formula>AQ20:CP39="Done"</formula>
    </cfRule>
    <cfRule type="expression" dxfId="20" priority="9">
      <formula>AQ20:CP39="Delay"</formula>
    </cfRule>
  </conditionalFormatting>
  <conditionalFormatting sqref="AS21">
    <cfRule type="expression" dxfId="19" priority="8">
      <formula>AR21:CQ40="Done"</formula>
    </cfRule>
    <cfRule type="expression" dxfId="18" priority="7">
      <formula>AR21:CQ40="Delay"</formula>
    </cfRule>
  </conditionalFormatting>
  <conditionalFormatting sqref="AT22">
    <cfRule type="expression" dxfId="17" priority="6">
      <formula>AS22:CR41="Done"</formula>
    </cfRule>
    <cfRule type="expression" dxfId="16" priority="5">
      <formula>AS22:CR41="Delay"</formula>
    </cfRule>
  </conditionalFormatting>
  <conditionalFormatting sqref="AU23">
    <cfRule type="expression" dxfId="15" priority="4">
      <formula>AT23:CS42="Done"</formula>
    </cfRule>
    <cfRule type="expression" dxfId="14" priority="3">
      <formula>AT23:CS42="Delay"</formula>
    </cfRule>
  </conditionalFormatting>
  <conditionalFormatting sqref="AV24">
    <cfRule type="expression" dxfId="13" priority="2">
      <formula>AU24:CT43="Done"</formula>
    </cfRule>
    <cfRule type="expression" dxfId="12" priority="1">
      <formula>AU24:CT43="Delay"</formula>
    </cfRule>
  </conditionalFormatting>
  <conditionalFormatting sqref="BB16">
    <cfRule type="expression" dxfId="11" priority="33">
      <formula>BA16:CZ35="Delay"</formula>
    </cfRule>
    <cfRule type="expression" dxfId="10" priority="34">
      <formula>BA16:CZ35="Done"</formula>
    </cfRule>
  </conditionalFormatting>
  <pageMargins left="0" right="0" top="0.5" bottom="0" header="0" footer="0"/>
  <pageSetup paperSize="8" scale="4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1D46-3935-43B2-8CA7-62F807180258}">
  <dimension ref="A1:PE430"/>
  <sheetViews>
    <sheetView zoomScale="85" zoomScaleNormal="85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E19" sqref="E19"/>
    </sheetView>
  </sheetViews>
  <sheetFormatPr defaultColWidth="9.109375" defaultRowHeight="14.4" x14ac:dyDescent="0.3"/>
  <cols>
    <col min="1" max="1" width="39.6640625" style="5" customWidth="1"/>
    <col min="2" max="2" width="27.44140625" style="5" customWidth="1"/>
    <col min="3" max="3" width="13.33203125" style="5" customWidth="1"/>
    <col min="4" max="368" width="4.5546875" style="12" customWidth="1"/>
    <col min="369" max="370" width="9.109375" style="12" customWidth="1"/>
    <col min="371" max="16384" width="9.109375" style="12"/>
  </cols>
  <sheetData>
    <row r="1" spans="1:421" s="5" customFormat="1" ht="24.75" customHeight="1" x14ac:dyDescent="0.3">
      <c r="A1" s="55" t="s">
        <v>204</v>
      </c>
      <c r="B1" s="55"/>
      <c r="C1" s="8" t="s">
        <v>3</v>
      </c>
      <c r="D1" s="5">
        <f t="shared" ref="D1:BO1" si="0">MONTH(D4)</f>
        <v>1</v>
      </c>
      <c r="E1" s="5">
        <f t="shared" si="0"/>
        <v>1</v>
      </c>
      <c r="F1" s="5">
        <f t="shared" si="0"/>
        <v>1</v>
      </c>
      <c r="G1" s="5">
        <f t="shared" si="0"/>
        <v>1</v>
      </c>
      <c r="H1" s="5">
        <f t="shared" si="0"/>
        <v>1</v>
      </c>
      <c r="I1" s="5">
        <f t="shared" si="0"/>
        <v>1</v>
      </c>
      <c r="J1" s="5">
        <f t="shared" si="0"/>
        <v>1</v>
      </c>
      <c r="K1" s="5">
        <f t="shared" si="0"/>
        <v>1</v>
      </c>
      <c r="L1" s="5">
        <f t="shared" si="0"/>
        <v>1</v>
      </c>
      <c r="M1" s="5">
        <f t="shared" si="0"/>
        <v>1</v>
      </c>
      <c r="N1" s="5">
        <f t="shared" si="0"/>
        <v>1</v>
      </c>
      <c r="O1" s="5">
        <f t="shared" si="0"/>
        <v>1</v>
      </c>
      <c r="P1" s="5">
        <f t="shared" si="0"/>
        <v>1</v>
      </c>
      <c r="Q1" s="5">
        <f t="shared" si="0"/>
        <v>1</v>
      </c>
      <c r="R1" s="5">
        <f t="shared" si="0"/>
        <v>1</v>
      </c>
      <c r="S1" s="5">
        <f t="shared" si="0"/>
        <v>1</v>
      </c>
      <c r="T1" s="5">
        <f t="shared" si="0"/>
        <v>1</v>
      </c>
      <c r="U1" s="5">
        <f t="shared" si="0"/>
        <v>1</v>
      </c>
      <c r="V1" s="5">
        <f t="shared" si="0"/>
        <v>1</v>
      </c>
      <c r="W1" s="5">
        <f t="shared" si="0"/>
        <v>1</v>
      </c>
      <c r="X1" s="5">
        <f t="shared" si="0"/>
        <v>1</v>
      </c>
      <c r="Y1" s="5">
        <f t="shared" si="0"/>
        <v>1</v>
      </c>
      <c r="Z1" s="5">
        <f t="shared" si="0"/>
        <v>1</v>
      </c>
      <c r="AA1" s="5">
        <f t="shared" si="0"/>
        <v>1</v>
      </c>
      <c r="AB1" s="5">
        <f t="shared" si="0"/>
        <v>1</v>
      </c>
      <c r="AC1" s="5">
        <f t="shared" si="0"/>
        <v>1</v>
      </c>
      <c r="AD1" s="5">
        <f t="shared" si="0"/>
        <v>1</v>
      </c>
      <c r="AE1" s="5">
        <f t="shared" si="0"/>
        <v>1</v>
      </c>
      <c r="AF1" s="5">
        <f t="shared" si="0"/>
        <v>1</v>
      </c>
      <c r="AG1" s="5">
        <f t="shared" si="0"/>
        <v>1</v>
      </c>
      <c r="AH1" s="5">
        <f t="shared" si="0"/>
        <v>1</v>
      </c>
      <c r="AI1" s="5">
        <f t="shared" si="0"/>
        <v>2</v>
      </c>
      <c r="AJ1" s="5">
        <f t="shared" si="0"/>
        <v>2</v>
      </c>
      <c r="AK1" s="5">
        <f t="shared" si="0"/>
        <v>2</v>
      </c>
      <c r="AL1" s="5">
        <f t="shared" si="0"/>
        <v>2</v>
      </c>
      <c r="AM1" s="5">
        <f t="shared" si="0"/>
        <v>2</v>
      </c>
      <c r="AN1" s="5">
        <f t="shared" si="0"/>
        <v>2</v>
      </c>
      <c r="AO1" s="5">
        <f t="shared" si="0"/>
        <v>2</v>
      </c>
      <c r="AP1" s="5">
        <f t="shared" si="0"/>
        <v>2</v>
      </c>
      <c r="AQ1" s="5">
        <f t="shared" si="0"/>
        <v>2</v>
      </c>
      <c r="AR1" s="5">
        <f t="shared" si="0"/>
        <v>2</v>
      </c>
      <c r="AS1" s="5">
        <f t="shared" si="0"/>
        <v>2</v>
      </c>
      <c r="AT1" s="5">
        <f t="shared" si="0"/>
        <v>2</v>
      </c>
      <c r="AU1" s="5">
        <f t="shared" si="0"/>
        <v>2</v>
      </c>
      <c r="AV1" s="5">
        <f t="shared" si="0"/>
        <v>2</v>
      </c>
      <c r="AW1" s="5">
        <f t="shared" si="0"/>
        <v>2</v>
      </c>
      <c r="AX1" s="5">
        <f t="shared" si="0"/>
        <v>2</v>
      </c>
      <c r="AY1" s="5">
        <f t="shared" si="0"/>
        <v>2</v>
      </c>
      <c r="AZ1" s="5">
        <f t="shared" si="0"/>
        <v>2</v>
      </c>
      <c r="BA1" s="5">
        <f t="shared" si="0"/>
        <v>2</v>
      </c>
      <c r="BB1" s="5">
        <f t="shared" si="0"/>
        <v>2</v>
      </c>
      <c r="BC1" s="5">
        <f t="shared" si="0"/>
        <v>2</v>
      </c>
      <c r="BD1" s="5">
        <f t="shared" si="0"/>
        <v>2</v>
      </c>
      <c r="BE1" s="5">
        <f t="shared" si="0"/>
        <v>2</v>
      </c>
      <c r="BF1" s="5">
        <f t="shared" si="0"/>
        <v>2</v>
      </c>
      <c r="BG1" s="5">
        <f t="shared" si="0"/>
        <v>2</v>
      </c>
      <c r="BH1" s="5">
        <f t="shared" si="0"/>
        <v>2</v>
      </c>
      <c r="BI1" s="5">
        <f t="shared" si="0"/>
        <v>2</v>
      </c>
      <c r="BJ1" s="5">
        <f t="shared" si="0"/>
        <v>2</v>
      </c>
      <c r="BK1" s="5">
        <f t="shared" si="0"/>
        <v>3</v>
      </c>
      <c r="BL1" s="5">
        <f t="shared" si="0"/>
        <v>3</v>
      </c>
      <c r="BM1" s="5">
        <f t="shared" si="0"/>
        <v>3</v>
      </c>
      <c r="BN1" s="5">
        <f t="shared" si="0"/>
        <v>3</v>
      </c>
      <c r="BO1" s="5">
        <f t="shared" si="0"/>
        <v>3</v>
      </c>
      <c r="BP1" s="5">
        <f t="shared" ref="BP1:EA1" si="1">MONTH(BP4)</f>
        <v>3</v>
      </c>
      <c r="BQ1" s="5">
        <f t="shared" si="1"/>
        <v>3</v>
      </c>
      <c r="BR1" s="5">
        <f t="shared" si="1"/>
        <v>3</v>
      </c>
      <c r="BS1" s="5">
        <f t="shared" si="1"/>
        <v>3</v>
      </c>
      <c r="BT1" s="5">
        <f t="shared" si="1"/>
        <v>3</v>
      </c>
      <c r="BU1" s="5">
        <f t="shared" si="1"/>
        <v>3</v>
      </c>
      <c r="BV1" s="5">
        <f t="shared" si="1"/>
        <v>3</v>
      </c>
      <c r="BW1" s="5">
        <f t="shared" si="1"/>
        <v>3</v>
      </c>
      <c r="BX1" s="5">
        <f t="shared" si="1"/>
        <v>3</v>
      </c>
      <c r="BY1" s="5">
        <f t="shared" si="1"/>
        <v>3</v>
      </c>
      <c r="BZ1" s="5">
        <f t="shared" si="1"/>
        <v>3</v>
      </c>
      <c r="CA1" s="5">
        <f t="shared" si="1"/>
        <v>3</v>
      </c>
      <c r="CB1" s="5">
        <f t="shared" si="1"/>
        <v>3</v>
      </c>
      <c r="CC1" s="5">
        <f t="shared" si="1"/>
        <v>3</v>
      </c>
      <c r="CD1" s="5">
        <f t="shared" si="1"/>
        <v>3</v>
      </c>
      <c r="CE1" s="5">
        <f t="shared" si="1"/>
        <v>3</v>
      </c>
      <c r="CF1" s="5">
        <f t="shared" si="1"/>
        <v>3</v>
      </c>
      <c r="CG1" s="5">
        <f t="shared" si="1"/>
        <v>3</v>
      </c>
      <c r="CH1" s="5">
        <f t="shared" si="1"/>
        <v>3</v>
      </c>
      <c r="CI1" s="5">
        <f t="shared" si="1"/>
        <v>3</v>
      </c>
      <c r="CJ1" s="5">
        <f t="shared" si="1"/>
        <v>3</v>
      </c>
      <c r="CK1" s="5">
        <f t="shared" si="1"/>
        <v>3</v>
      </c>
      <c r="CL1" s="5">
        <f t="shared" si="1"/>
        <v>3</v>
      </c>
      <c r="CM1" s="5">
        <f t="shared" si="1"/>
        <v>3</v>
      </c>
      <c r="CN1" s="5">
        <f t="shared" si="1"/>
        <v>3</v>
      </c>
      <c r="CO1" s="5">
        <f t="shared" si="1"/>
        <v>3</v>
      </c>
      <c r="CP1" s="5">
        <f t="shared" si="1"/>
        <v>4</v>
      </c>
      <c r="CQ1" s="5">
        <f t="shared" si="1"/>
        <v>4</v>
      </c>
      <c r="CR1" s="5">
        <f t="shared" si="1"/>
        <v>4</v>
      </c>
      <c r="CS1" s="5">
        <f t="shared" si="1"/>
        <v>4</v>
      </c>
      <c r="CT1" s="5">
        <f t="shared" si="1"/>
        <v>4</v>
      </c>
      <c r="CU1" s="5">
        <f t="shared" si="1"/>
        <v>4</v>
      </c>
      <c r="CV1" s="5">
        <f t="shared" si="1"/>
        <v>4</v>
      </c>
      <c r="CW1" s="5">
        <f t="shared" si="1"/>
        <v>4</v>
      </c>
      <c r="CX1" s="5">
        <f t="shared" si="1"/>
        <v>4</v>
      </c>
      <c r="CY1" s="5">
        <f t="shared" si="1"/>
        <v>4</v>
      </c>
      <c r="CZ1" s="5">
        <f t="shared" si="1"/>
        <v>4</v>
      </c>
      <c r="DA1" s="5">
        <f t="shared" si="1"/>
        <v>4</v>
      </c>
      <c r="DB1" s="5">
        <f t="shared" si="1"/>
        <v>4</v>
      </c>
      <c r="DC1" s="5">
        <f t="shared" si="1"/>
        <v>4</v>
      </c>
      <c r="DD1" s="5">
        <f t="shared" si="1"/>
        <v>4</v>
      </c>
      <c r="DE1" s="5">
        <f t="shared" si="1"/>
        <v>4</v>
      </c>
      <c r="DF1" s="5">
        <f t="shared" si="1"/>
        <v>4</v>
      </c>
      <c r="DG1" s="5">
        <f t="shared" si="1"/>
        <v>4</v>
      </c>
      <c r="DH1" s="5">
        <f t="shared" si="1"/>
        <v>4</v>
      </c>
      <c r="DI1" s="5">
        <f t="shared" si="1"/>
        <v>4</v>
      </c>
      <c r="DJ1" s="5">
        <f t="shared" si="1"/>
        <v>4</v>
      </c>
      <c r="DK1" s="5">
        <f t="shared" si="1"/>
        <v>4</v>
      </c>
      <c r="DL1" s="5">
        <f t="shared" si="1"/>
        <v>4</v>
      </c>
      <c r="DM1" s="5">
        <f t="shared" si="1"/>
        <v>4</v>
      </c>
      <c r="DN1" s="5">
        <f t="shared" si="1"/>
        <v>4</v>
      </c>
      <c r="DO1" s="5">
        <f t="shared" si="1"/>
        <v>4</v>
      </c>
      <c r="DP1" s="5">
        <f t="shared" si="1"/>
        <v>4</v>
      </c>
      <c r="DQ1" s="5">
        <f t="shared" si="1"/>
        <v>4</v>
      </c>
      <c r="DR1" s="5">
        <f t="shared" si="1"/>
        <v>4</v>
      </c>
      <c r="DS1" s="5">
        <f t="shared" si="1"/>
        <v>4</v>
      </c>
      <c r="DT1" s="5">
        <f t="shared" si="1"/>
        <v>5</v>
      </c>
      <c r="DU1" s="5">
        <f t="shared" si="1"/>
        <v>5</v>
      </c>
      <c r="DV1" s="5">
        <f t="shared" si="1"/>
        <v>5</v>
      </c>
      <c r="DW1" s="5">
        <f t="shared" si="1"/>
        <v>5</v>
      </c>
      <c r="DX1" s="5">
        <f t="shared" si="1"/>
        <v>5</v>
      </c>
      <c r="DY1" s="5">
        <f t="shared" si="1"/>
        <v>5</v>
      </c>
      <c r="DZ1" s="5">
        <f t="shared" si="1"/>
        <v>5</v>
      </c>
      <c r="EA1" s="5">
        <f t="shared" si="1"/>
        <v>5</v>
      </c>
      <c r="EB1" s="5">
        <f t="shared" ref="EB1:GM1" si="2">MONTH(EB4)</f>
        <v>5</v>
      </c>
      <c r="EC1" s="5">
        <f t="shared" si="2"/>
        <v>5</v>
      </c>
      <c r="ED1" s="5">
        <f t="shared" si="2"/>
        <v>5</v>
      </c>
      <c r="EE1" s="5">
        <f t="shared" si="2"/>
        <v>5</v>
      </c>
      <c r="EF1" s="5">
        <f t="shared" si="2"/>
        <v>5</v>
      </c>
      <c r="EG1" s="5">
        <f t="shared" si="2"/>
        <v>5</v>
      </c>
      <c r="EH1" s="5">
        <f t="shared" si="2"/>
        <v>5</v>
      </c>
      <c r="EI1" s="5">
        <f t="shared" si="2"/>
        <v>5</v>
      </c>
      <c r="EJ1" s="5">
        <f t="shared" si="2"/>
        <v>5</v>
      </c>
      <c r="EK1" s="5">
        <f t="shared" si="2"/>
        <v>5</v>
      </c>
      <c r="EL1" s="5">
        <f t="shared" si="2"/>
        <v>5</v>
      </c>
      <c r="EM1" s="5">
        <f t="shared" si="2"/>
        <v>5</v>
      </c>
      <c r="EN1" s="5">
        <f t="shared" si="2"/>
        <v>5</v>
      </c>
      <c r="EO1" s="5">
        <f t="shared" si="2"/>
        <v>5</v>
      </c>
      <c r="EP1" s="5">
        <f t="shared" si="2"/>
        <v>5</v>
      </c>
      <c r="EQ1" s="5">
        <f t="shared" si="2"/>
        <v>5</v>
      </c>
      <c r="ER1" s="5">
        <f t="shared" si="2"/>
        <v>5</v>
      </c>
      <c r="ES1" s="5">
        <f t="shared" si="2"/>
        <v>5</v>
      </c>
      <c r="ET1" s="5">
        <f t="shared" si="2"/>
        <v>5</v>
      </c>
      <c r="EU1" s="5">
        <f t="shared" si="2"/>
        <v>5</v>
      </c>
      <c r="EV1" s="5">
        <f>MONTH(ET4)</f>
        <v>5</v>
      </c>
      <c r="EW1" s="5">
        <f t="shared" si="2"/>
        <v>5</v>
      </c>
      <c r="EX1" s="5">
        <f t="shared" si="2"/>
        <v>5</v>
      </c>
      <c r="EY1" s="5">
        <f t="shared" si="2"/>
        <v>6</v>
      </c>
      <c r="EZ1" s="5">
        <f t="shared" si="2"/>
        <v>6</v>
      </c>
      <c r="FA1" s="5">
        <f t="shared" si="2"/>
        <v>6</v>
      </c>
      <c r="FB1" s="5">
        <f t="shared" si="2"/>
        <v>6</v>
      </c>
      <c r="FC1" s="5">
        <f t="shared" si="2"/>
        <v>6</v>
      </c>
      <c r="FD1" s="5">
        <f t="shared" si="2"/>
        <v>6</v>
      </c>
      <c r="FE1" s="5">
        <f t="shared" si="2"/>
        <v>6</v>
      </c>
      <c r="FF1" s="5">
        <f t="shared" si="2"/>
        <v>6</v>
      </c>
      <c r="FG1" s="5">
        <f t="shared" si="2"/>
        <v>6</v>
      </c>
      <c r="FH1" s="5">
        <f t="shared" si="2"/>
        <v>6</v>
      </c>
      <c r="FI1" s="5">
        <f t="shared" si="2"/>
        <v>6</v>
      </c>
      <c r="FJ1" s="5">
        <f t="shared" si="2"/>
        <v>6</v>
      </c>
      <c r="FK1" s="5">
        <f t="shared" si="2"/>
        <v>6</v>
      </c>
      <c r="FL1" s="5">
        <f t="shared" si="2"/>
        <v>6</v>
      </c>
      <c r="FM1" s="5">
        <f t="shared" si="2"/>
        <v>6</v>
      </c>
      <c r="FN1" s="5">
        <f t="shared" si="2"/>
        <v>6</v>
      </c>
      <c r="FO1" s="5">
        <f t="shared" si="2"/>
        <v>6</v>
      </c>
      <c r="FP1" s="5">
        <f t="shared" si="2"/>
        <v>6</v>
      </c>
      <c r="FQ1" s="5">
        <f t="shared" si="2"/>
        <v>6</v>
      </c>
      <c r="FR1" s="5">
        <f t="shared" si="2"/>
        <v>6</v>
      </c>
      <c r="FS1" s="5">
        <f t="shared" si="2"/>
        <v>6</v>
      </c>
      <c r="FT1" s="5">
        <f>MONTH(FT4)</f>
        <v>6</v>
      </c>
      <c r="FU1" s="5">
        <f t="shared" si="2"/>
        <v>6</v>
      </c>
      <c r="FV1" s="5">
        <f>MONTH(FT4)</f>
        <v>6</v>
      </c>
      <c r="FW1" s="5">
        <f t="shared" si="2"/>
        <v>6</v>
      </c>
      <c r="FX1" s="5">
        <f t="shared" si="2"/>
        <v>6</v>
      </c>
      <c r="FY1" s="5">
        <f t="shared" si="2"/>
        <v>6</v>
      </c>
      <c r="FZ1" s="5">
        <f t="shared" si="2"/>
        <v>6</v>
      </c>
      <c r="GA1" s="5">
        <f t="shared" si="2"/>
        <v>6</v>
      </c>
      <c r="GB1" s="5">
        <f t="shared" si="2"/>
        <v>6</v>
      </c>
      <c r="GC1" s="5">
        <f t="shared" si="2"/>
        <v>7</v>
      </c>
      <c r="GD1" s="5">
        <f t="shared" si="2"/>
        <v>7</v>
      </c>
      <c r="GE1" s="5">
        <f t="shared" si="2"/>
        <v>7</v>
      </c>
      <c r="GF1" s="5">
        <f t="shared" si="2"/>
        <v>7</v>
      </c>
      <c r="GG1" s="5">
        <f t="shared" si="2"/>
        <v>7</v>
      </c>
      <c r="GH1" s="5">
        <f t="shared" si="2"/>
        <v>7</v>
      </c>
      <c r="GI1" s="5">
        <f t="shared" si="2"/>
        <v>7</v>
      </c>
      <c r="GJ1" s="5">
        <f t="shared" si="2"/>
        <v>7</v>
      </c>
      <c r="GK1" s="5">
        <f t="shared" si="2"/>
        <v>7</v>
      </c>
      <c r="GL1" s="5">
        <f t="shared" si="2"/>
        <v>7</v>
      </c>
      <c r="GM1" s="5">
        <f t="shared" si="2"/>
        <v>7</v>
      </c>
      <c r="GN1" s="5">
        <f t="shared" ref="GN1:IY1" si="3">MONTH(GN4)</f>
        <v>7</v>
      </c>
      <c r="GO1" s="5">
        <f t="shared" si="3"/>
        <v>7</v>
      </c>
      <c r="GP1" s="5">
        <f t="shared" si="3"/>
        <v>7</v>
      </c>
      <c r="GQ1" s="5">
        <f t="shared" si="3"/>
        <v>7</v>
      </c>
      <c r="GR1" s="5">
        <f t="shared" si="3"/>
        <v>7</v>
      </c>
      <c r="GS1" s="5">
        <f t="shared" si="3"/>
        <v>7</v>
      </c>
      <c r="GT1" s="5">
        <f t="shared" si="3"/>
        <v>7</v>
      </c>
      <c r="GU1" s="5">
        <f t="shared" si="3"/>
        <v>7</v>
      </c>
      <c r="GV1" s="5">
        <f t="shared" si="3"/>
        <v>7</v>
      </c>
      <c r="GW1" s="5">
        <f>MONTH(GU4)</f>
        <v>7</v>
      </c>
      <c r="GX1" s="5">
        <f t="shared" si="3"/>
        <v>7</v>
      </c>
      <c r="GY1" s="5">
        <f t="shared" si="3"/>
        <v>7</v>
      </c>
      <c r="GZ1" s="5">
        <f t="shared" si="3"/>
        <v>7</v>
      </c>
      <c r="HA1" s="5">
        <f t="shared" si="3"/>
        <v>7</v>
      </c>
      <c r="HB1" s="5">
        <f t="shared" si="3"/>
        <v>7</v>
      </c>
      <c r="HC1" s="5">
        <f t="shared" si="3"/>
        <v>7</v>
      </c>
      <c r="HD1" s="5">
        <f t="shared" si="3"/>
        <v>7</v>
      </c>
      <c r="HE1" s="5">
        <f t="shared" si="3"/>
        <v>7</v>
      </c>
      <c r="HF1" s="5">
        <f t="shared" si="3"/>
        <v>7</v>
      </c>
      <c r="HG1" s="5">
        <f t="shared" si="3"/>
        <v>7</v>
      </c>
      <c r="HH1" s="5">
        <f t="shared" si="3"/>
        <v>8</v>
      </c>
      <c r="HI1" s="5">
        <f t="shared" si="3"/>
        <v>8</v>
      </c>
      <c r="HJ1" s="5">
        <f t="shared" si="3"/>
        <v>8</v>
      </c>
      <c r="HK1" s="5">
        <f t="shared" si="3"/>
        <v>8</v>
      </c>
      <c r="HL1" s="5">
        <f t="shared" si="3"/>
        <v>8</v>
      </c>
      <c r="HM1" s="5">
        <f t="shared" si="3"/>
        <v>8</v>
      </c>
      <c r="HN1" s="5">
        <f t="shared" si="3"/>
        <v>8</v>
      </c>
      <c r="HO1" s="5">
        <f t="shared" si="3"/>
        <v>8</v>
      </c>
      <c r="HP1" s="5">
        <f t="shared" si="3"/>
        <v>8</v>
      </c>
      <c r="HQ1" s="5">
        <f t="shared" si="3"/>
        <v>8</v>
      </c>
      <c r="HR1" s="5">
        <f t="shared" si="3"/>
        <v>8</v>
      </c>
      <c r="HS1" s="5">
        <f t="shared" si="3"/>
        <v>8</v>
      </c>
      <c r="HT1" s="5">
        <f t="shared" si="3"/>
        <v>8</v>
      </c>
      <c r="HU1" s="5">
        <f t="shared" si="3"/>
        <v>8</v>
      </c>
      <c r="HV1" s="5">
        <f t="shared" si="3"/>
        <v>8</v>
      </c>
      <c r="HW1" s="5">
        <f t="shared" si="3"/>
        <v>8</v>
      </c>
      <c r="HX1" s="5">
        <f t="shared" si="3"/>
        <v>8</v>
      </c>
      <c r="HY1" s="5">
        <f t="shared" si="3"/>
        <v>8</v>
      </c>
      <c r="HZ1" s="5">
        <f t="shared" si="3"/>
        <v>8</v>
      </c>
      <c r="IA1" s="5">
        <f t="shared" si="3"/>
        <v>8</v>
      </c>
      <c r="IB1" s="5">
        <f t="shared" si="3"/>
        <v>8</v>
      </c>
      <c r="IC1" s="5">
        <f t="shared" si="3"/>
        <v>8</v>
      </c>
      <c r="ID1" s="5">
        <f t="shared" si="3"/>
        <v>8</v>
      </c>
      <c r="IE1" s="5">
        <f t="shared" si="3"/>
        <v>8</v>
      </c>
      <c r="IF1" s="5">
        <f t="shared" si="3"/>
        <v>8</v>
      </c>
      <c r="IG1" s="5">
        <f t="shared" si="3"/>
        <v>8</v>
      </c>
      <c r="IH1" s="5">
        <f t="shared" si="3"/>
        <v>8</v>
      </c>
      <c r="II1" s="5">
        <f t="shared" si="3"/>
        <v>8</v>
      </c>
      <c r="IJ1" s="5">
        <f t="shared" si="3"/>
        <v>8</v>
      </c>
      <c r="IK1" s="5">
        <f t="shared" si="3"/>
        <v>8</v>
      </c>
      <c r="IL1" s="5">
        <f t="shared" si="3"/>
        <v>8</v>
      </c>
      <c r="IM1" s="5">
        <f t="shared" si="3"/>
        <v>9</v>
      </c>
      <c r="IN1" s="5">
        <f t="shared" si="3"/>
        <v>9</v>
      </c>
      <c r="IO1" s="5">
        <f t="shared" si="3"/>
        <v>9</v>
      </c>
      <c r="IP1" s="5">
        <f t="shared" si="3"/>
        <v>9</v>
      </c>
      <c r="IQ1" s="5">
        <f t="shared" si="3"/>
        <v>9</v>
      </c>
      <c r="IR1" s="5">
        <f t="shared" si="3"/>
        <v>9</v>
      </c>
      <c r="IS1" s="5">
        <f t="shared" si="3"/>
        <v>9</v>
      </c>
      <c r="IT1" s="5">
        <f t="shared" si="3"/>
        <v>9</v>
      </c>
      <c r="IU1" s="5">
        <f t="shared" si="3"/>
        <v>9</v>
      </c>
      <c r="IV1" s="5">
        <f t="shared" si="3"/>
        <v>9</v>
      </c>
      <c r="IW1" s="5">
        <f t="shared" si="3"/>
        <v>9</v>
      </c>
      <c r="IX1" s="5">
        <f t="shared" si="3"/>
        <v>9</v>
      </c>
      <c r="IY1" s="5">
        <f t="shared" si="3"/>
        <v>9</v>
      </c>
      <c r="IZ1" s="5">
        <f t="shared" ref="IZ1:LK1" si="4">MONTH(IZ4)</f>
        <v>9</v>
      </c>
      <c r="JA1" s="5">
        <f t="shared" si="4"/>
        <v>9</v>
      </c>
      <c r="JB1" s="5">
        <f t="shared" si="4"/>
        <v>9</v>
      </c>
      <c r="JC1" s="5">
        <f t="shared" si="4"/>
        <v>9</v>
      </c>
      <c r="JD1" s="5">
        <f t="shared" si="4"/>
        <v>9</v>
      </c>
      <c r="JE1" s="5">
        <f t="shared" si="4"/>
        <v>9</v>
      </c>
      <c r="JF1" s="5">
        <f t="shared" si="4"/>
        <v>9</v>
      </c>
      <c r="JG1" s="5">
        <f t="shared" si="4"/>
        <v>9</v>
      </c>
      <c r="JH1" s="5">
        <f t="shared" si="4"/>
        <v>9</v>
      </c>
      <c r="JI1" s="5">
        <f t="shared" si="4"/>
        <v>9</v>
      </c>
      <c r="JJ1" s="5">
        <f t="shared" si="4"/>
        <v>9</v>
      </c>
      <c r="JK1" s="5">
        <f t="shared" si="4"/>
        <v>9</v>
      </c>
      <c r="JL1" s="5">
        <f t="shared" si="4"/>
        <v>9</v>
      </c>
      <c r="JM1" s="5">
        <f t="shared" si="4"/>
        <v>9</v>
      </c>
      <c r="JN1" s="5">
        <f t="shared" si="4"/>
        <v>9</v>
      </c>
      <c r="JO1" s="5">
        <f t="shared" si="4"/>
        <v>9</v>
      </c>
      <c r="JP1" s="5">
        <f t="shared" si="4"/>
        <v>9</v>
      </c>
      <c r="JQ1" s="5">
        <f t="shared" si="4"/>
        <v>10</v>
      </c>
      <c r="JR1" s="5">
        <f t="shared" si="4"/>
        <v>10</v>
      </c>
      <c r="JS1" s="5">
        <f t="shared" si="4"/>
        <v>10</v>
      </c>
      <c r="JT1" s="5">
        <f t="shared" si="4"/>
        <v>10</v>
      </c>
      <c r="JU1" s="5">
        <f t="shared" si="4"/>
        <v>10</v>
      </c>
      <c r="JV1" s="5">
        <f t="shared" si="4"/>
        <v>10</v>
      </c>
      <c r="JW1" s="5">
        <f t="shared" si="4"/>
        <v>10</v>
      </c>
      <c r="JX1" s="5">
        <f t="shared" si="4"/>
        <v>10</v>
      </c>
      <c r="JY1" s="5">
        <f t="shared" si="4"/>
        <v>10</v>
      </c>
      <c r="JZ1" s="5">
        <f t="shared" si="4"/>
        <v>10</v>
      </c>
      <c r="KA1" s="5">
        <f t="shared" si="4"/>
        <v>10</v>
      </c>
      <c r="KB1" s="5">
        <f t="shared" si="4"/>
        <v>10</v>
      </c>
      <c r="KC1" s="5">
        <f t="shared" si="4"/>
        <v>10</v>
      </c>
      <c r="KD1" s="5">
        <f t="shared" si="4"/>
        <v>10</v>
      </c>
      <c r="KE1" s="5">
        <f t="shared" si="4"/>
        <v>10</v>
      </c>
      <c r="KF1" s="5">
        <f t="shared" si="4"/>
        <v>10</v>
      </c>
      <c r="KG1" s="5">
        <f t="shared" si="4"/>
        <v>10</v>
      </c>
      <c r="KH1" s="5">
        <f t="shared" si="4"/>
        <v>10</v>
      </c>
      <c r="KI1" s="5">
        <f t="shared" si="4"/>
        <v>10</v>
      </c>
      <c r="KJ1" s="5">
        <f t="shared" si="4"/>
        <v>10</v>
      </c>
      <c r="KK1" s="5">
        <f t="shared" si="4"/>
        <v>10</v>
      </c>
      <c r="KL1" s="5">
        <f t="shared" si="4"/>
        <v>10</v>
      </c>
      <c r="KM1" s="5">
        <f t="shared" si="4"/>
        <v>10</v>
      </c>
      <c r="KN1" s="5">
        <f t="shared" si="4"/>
        <v>10</v>
      </c>
      <c r="KO1" s="5">
        <f t="shared" si="4"/>
        <v>10</v>
      </c>
      <c r="KP1" s="5">
        <f t="shared" si="4"/>
        <v>10</v>
      </c>
      <c r="KQ1" s="5">
        <f t="shared" si="4"/>
        <v>10</v>
      </c>
      <c r="KR1" s="5">
        <f t="shared" si="4"/>
        <v>10</v>
      </c>
      <c r="KS1" s="5">
        <f t="shared" si="4"/>
        <v>10</v>
      </c>
      <c r="KT1" s="5">
        <f t="shared" si="4"/>
        <v>10</v>
      </c>
      <c r="KU1" s="5">
        <f t="shared" si="4"/>
        <v>10</v>
      </c>
      <c r="KV1" s="5">
        <f t="shared" si="4"/>
        <v>11</v>
      </c>
      <c r="KW1" s="5">
        <f t="shared" si="4"/>
        <v>11</v>
      </c>
      <c r="KX1" s="5">
        <f t="shared" si="4"/>
        <v>11</v>
      </c>
      <c r="KY1" s="5">
        <f t="shared" si="4"/>
        <v>11</v>
      </c>
      <c r="KZ1" s="5">
        <f t="shared" si="4"/>
        <v>11</v>
      </c>
      <c r="LA1" s="5">
        <f t="shared" si="4"/>
        <v>11</v>
      </c>
      <c r="LB1" s="5">
        <f t="shared" si="4"/>
        <v>11</v>
      </c>
      <c r="LC1" s="5">
        <f t="shared" si="4"/>
        <v>11</v>
      </c>
      <c r="LD1" s="5">
        <f t="shared" si="4"/>
        <v>11</v>
      </c>
      <c r="LE1" s="5">
        <f t="shared" si="4"/>
        <v>11</v>
      </c>
      <c r="LF1" s="5">
        <f t="shared" si="4"/>
        <v>11</v>
      </c>
      <c r="LG1" s="5">
        <f t="shared" si="4"/>
        <v>11</v>
      </c>
      <c r="LH1" s="5">
        <f t="shared" si="4"/>
        <v>11</v>
      </c>
      <c r="LI1" s="5">
        <f t="shared" si="4"/>
        <v>11</v>
      </c>
      <c r="LJ1" s="5">
        <f t="shared" si="4"/>
        <v>11</v>
      </c>
      <c r="LK1" s="5">
        <f t="shared" si="4"/>
        <v>11</v>
      </c>
      <c r="LL1" s="5">
        <f t="shared" ref="LL1:NC1" si="5">MONTH(LL4)</f>
        <v>11</v>
      </c>
      <c r="LM1" s="5">
        <f t="shared" si="5"/>
        <v>11</v>
      </c>
      <c r="LN1" s="5">
        <f t="shared" si="5"/>
        <v>11</v>
      </c>
      <c r="LO1" s="5">
        <f t="shared" si="5"/>
        <v>11</v>
      </c>
      <c r="LP1" s="5">
        <f t="shared" si="5"/>
        <v>11</v>
      </c>
      <c r="LQ1" s="5">
        <f t="shared" si="5"/>
        <v>11</v>
      </c>
      <c r="LR1" s="5">
        <f t="shared" si="5"/>
        <v>11</v>
      </c>
      <c r="LS1" s="5">
        <f t="shared" si="5"/>
        <v>11</v>
      </c>
      <c r="LT1" s="5">
        <f t="shared" si="5"/>
        <v>11</v>
      </c>
      <c r="LU1" s="5">
        <f t="shared" si="5"/>
        <v>11</v>
      </c>
      <c r="LV1" s="5">
        <f t="shared" si="5"/>
        <v>11</v>
      </c>
      <c r="LW1" s="5">
        <f t="shared" si="5"/>
        <v>11</v>
      </c>
      <c r="LX1" s="5">
        <f t="shared" si="5"/>
        <v>11</v>
      </c>
      <c r="LY1" s="5">
        <f t="shared" si="5"/>
        <v>11</v>
      </c>
      <c r="LZ1" s="5">
        <f t="shared" si="5"/>
        <v>12</v>
      </c>
      <c r="MA1" s="5">
        <f t="shared" si="5"/>
        <v>12</v>
      </c>
      <c r="MB1" s="5">
        <f t="shared" si="5"/>
        <v>12</v>
      </c>
      <c r="MC1" s="5">
        <f t="shared" si="5"/>
        <v>12</v>
      </c>
      <c r="MD1" s="5">
        <f t="shared" si="5"/>
        <v>12</v>
      </c>
      <c r="ME1" s="5">
        <f t="shared" si="5"/>
        <v>12</v>
      </c>
      <c r="MF1" s="5">
        <f t="shared" si="5"/>
        <v>12</v>
      </c>
      <c r="MG1" s="5">
        <f t="shared" si="5"/>
        <v>12</v>
      </c>
      <c r="MH1" s="5">
        <f t="shared" si="5"/>
        <v>12</v>
      </c>
      <c r="MI1" s="5">
        <f t="shared" si="5"/>
        <v>12</v>
      </c>
      <c r="MJ1" s="5">
        <f t="shared" si="5"/>
        <v>12</v>
      </c>
      <c r="MK1" s="5">
        <f t="shared" si="5"/>
        <v>12</v>
      </c>
      <c r="ML1" s="5">
        <f t="shared" si="5"/>
        <v>12</v>
      </c>
      <c r="MM1" s="5">
        <f t="shared" si="5"/>
        <v>12</v>
      </c>
      <c r="MN1" s="5">
        <f t="shared" si="5"/>
        <v>12</v>
      </c>
      <c r="MO1" s="5">
        <f t="shared" si="5"/>
        <v>12</v>
      </c>
      <c r="MP1" s="5">
        <f t="shared" si="5"/>
        <v>12</v>
      </c>
      <c r="MQ1" s="5">
        <f t="shared" si="5"/>
        <v>12</v>
      </c>
      <c r="MR1" s="5">
        <f t="shared" si="5"/>
        <v>12</v>
      </c>
      <c r="MS1" s="5">
        <f t="shared" si="5"/>
        <v>12</v>
      </c>
      <c r="MT1" s="5">
        <f t="shared" si="5"/>
        <v>12</v>
      </c>
      <c r="MU1" s="5">
        <f t="shared" si="5"/>
        <v>12</v>
      </c>
      <c r="MV1" s="5">
        <f t="shared" si="5"/>
        <v>12</v>
      </c>
      <c r="MW1" s="5">
        <f t="shared" si="5"/>
        <v>12</v>
      </c>
      <c r="MX1" s="5">
        <f t="shared" si="5"/>
        <v>12</v>
      </c>
      <c r="MY1" s="5">
        <f t="shared" si="5"/>
        <v>12</v>
      </c>
      <c r="MZ1" s="5">
        <f t="shared" si="5"/>
        <v>12</v>
      </c>
      <c r="NA1" s="5">
        <f t="shared" si="5"/>
        <v>12</v>
      </c>
      <c r="NB1" s="5">
        <f t="shared" si="5"/>
        <v>12</v>
      </c>
      <c r="NC1" s="5">
        <f t="shared" si="5"/>
        <v>12</v>
      </c>
    </row>
    <row r="2" spans="1:421" s="5" customFormat="1" ht="24.75" customHeight="1" x14ac:dyDescent="0.3">
      <c r="A2" s="55"/>
      <c r="B2" s="55"/>
      <c r="C2" s="8" t="s">
        <v>17</v>
      </c>
      <c r="D2" s="9">
        <f>WEEKNUM(D4)</f>
        <v>1</v>
      </c>
      <c r="E2" s="9">
        <f t="shared" ref="E2:BP2" si="6">WEEKNUM(E4)</f>
        <v>1</v>
      </c>
      <c r="F2" s="9">
        <f t="shared" si="6"/>
        <v>1</v>
      </c>
      <c r="G2" s="9">
        <f t="shared" si="6"/>
        <v>1</v>
      </c>
      <c r="H2" s="9">
        <f t="shared" si="6"/>
        <v>2</v>
      </c>
      <c r="I2" s="9">
        <f t="shared" si="6"/>
        <v>2</v>
      </c>
      <c r="J2" s="9">
        <f t="shared" si="6"/>
        <v>2</v>
      </c>
      <c r="K2" s="9">
        <f t="shared" si="6"/>
        <v>2</v>
      </c>
      <c r="L2" s="9">
        <f t="shared" si="6"/>
        <v>2</v>
      </c>
      <c r="M2" s="9">
        <f t="shared" si="6"/>
        <v>2</v>
      </c>
      <c r="N2" s="9">
        <f t="shared" si="6"/>
        <v>2</v>
      </c>
      <c r="O2" s="9">
        <f t="shared" si="6"/>
        <v>3</v>
      </c>
      <c r="P2" s="9">
        <f t="shared" si="6"/>
        <v>3</v>
      </c>
      <c r="Q2" s="9">
        <f t="shared" si="6"/>
        <v>3</v>
      </c>
      <c r="R2" s="9">
        <f t="shared" si="6"/>
        <v>3</v>
      </c>
      <c r="S2" s="9">
        <f t="shared" si="6"/>
        <v>3</v>
      </c>
      <c r="T2" s="9">
        <f t="shared" si="6"/>
        <v>3</v>
      </c>
      <c r="U2" s="9">
        <f t="shared" si="6"/>
        <v>3</v>
      </c>
      <c r="V2" s="9">
        <f t="shared" si="6"/>
        <v>4</v>
      </c>
      <c r="W2" s="9">
        <f t="shared" si="6"/>
        <v>4</v>
      </c>
      <c r="X2" s="9">
        <f t="shared" si="6"/>
        <v>4</v>
      </c>
      <c r="Y2" s="9">
        <f t="shared" si="6"/>
        <v>4</v>
      </c>
      <c r="Z2" s="9">
        <f t="shared" si="6"/>
        <v>4</v>
      </c>
      <c r="AA2" s="9">
        <f t="shared" si="6"/>
        <v>4</v>
      </c>
      <c r="AB2" s="9">
        <f t="shared" si="6"/>
        <v>4</v>
      </c>
      <c r="AC2" s="9">
        <f t="shared" si="6"/>
        <v>5</v>
      </c>
      <c r="AD2" s="9">
        <f t="shared" si="6"/>
        <v>5</v>
      </c>
      <c r="AE2" s="9">
        <f t="shared" si="6"/>
        <v>5</v>
      </c>
      <c r="AF2" s="9">
        <f t="shared" si="6"/>
        <v>5</v>
      </c>
      <c r="AG2" s="9">
        <f t="shared" si="6"/>
        <v>5</v>
      </c>
      <c r="AH2" s="9">
        <f t="shared" si="6"/>
        <v>5</v>
      </c>
      <c r="AI2" s="9">
        <f t="shared" si="6"/>
        <v>5</v>
      </c>
      <c r="AJ2" s="9">
        <f t="shared" si="6"/>
        <v>6</v>
      </c>
      <c r="AK2" s="9">
        <f t="shared" si="6"/>
        <v>6</v>
      </c>
      <c r="AL2" s="9">
        <f t="shared" si="6"/>
        <v>6</v>
      </c>
      <c r="AM2" s="9">
        <f t="shared" si="6"/>
        <v>6</v>
      </c>
      <c r="AN2" s="9">
        <f t="shared" si="6"/>
        <v>6</v>
      </c>
      <c r="AO2" s="9">
        <f t="shared" si="6"/>
        <v>6</v>
      </c>
      <c r="AP2" s="9">
        <f t="shared" si="6"/>
        <v>6</v>
      </c>
      <c r="AQ2" s="9">
        <f t="shared" si="6"/>
        <v>7</v>
      </c>
      <c r="AR2" s="9">
        <f t="shared" si="6"/>
        <v>7</v>
      </c>
      <c r="AS2" s="9">
        <f t="shared" si="6"/>
        <v>7</v>
      </c>
      <c r="AT2" s="9">
        <f t="shared" si="6"/>
        <v>7</v>
      </c>
      <c r="AU2" s="9">
        <f t="shared" si="6"/>
        <v>7</v>
      </c>
      <c r="AV2" s="9">
        <f t="shared" si="6"/>
        <v>7</v>
      </c>
      <c r="AW2" s="9">
        <f t="shared" si="6"/>
        <v>7</v>
      </c>
      <c r="AX2" s="9">
        <f t="shared" si="6"/>
        <v>8</v>
      </c>
      <c r="AY2" s="9">
        <f t="shared" si="6"/>
        <v>8</v>
      </c>
      <c r="AZ2" s="9">
        <f t="shared" si="6"/>
        <v>8</v>
      </c>
      <c r="BA2" s="9">
        <f t="shared" si="6"/>
        <v>8</v>
      </c>
      <c r="BB2" s="9">
        <f t="shared" si="6"/>
        <v>8</v>
      </c>
      <c r="BC2" s="9">
        <f t="shared" si="6"/>
        <v>8</v>
      </c>
      <c r="BD2" s="9">
        <f t="shared" si="6"/>
        <v>8</v>
      </c>
      <c r="BE2" s="9">
        <f t="shared" si="6"/>
        <v>9</v>
      </c>
      <c r="BF2" s="9">
        <f t="shared" si="6"/>
        <v>9</v>
      </c>
      <c r="BG2" s="9">
        <f t="shared" si="6"/>
        <v>9</v>
      </c>
      <c r="BH2" s="9">
        <f t="shared" si="6"/>
        <v>9</v>
      </c>
      <c r="BI2" s="9">
        <f t="shared" si="6"/>
        <v>9</v>
      </c>
      <c r="BJ2" s="9">
        <f t="shared" si="6"/>
        <v>9</v>
      </c>
      <c r="BK2" s="9">
        <f t="shared" si="6"/>
        <v>9</v>
      </c>
      <c r="BL2" s="9">
        <f t="shared" si="6"/>
        <v>10</v>
      </c>
      <c r="BM2" s="9">
        <f t="shared" si="6"/>
        <v>10</v>
      </c>
      <c r="BN2" s="9">
        <f t="shared" si="6"/>
        <v>10</v>
      </c>
      <c r="BO2" s="9">
        <f t="shared" si="6"/>
        <v>10</v>
      </c>
      <c r="BP2" s="9">
        <f t="shared" si="6"/>
        <v>10</v>
      </c>
      <c r="BQ2" s="9">
        <f t="shared" ref="BQ2:EB2" si="7">WEEKNUM(BQ4)</f>
        <v>10</v>
      </c>
      <c r="BR2" s="9">
        <f t="shared" si="7"/>
        <v>10</v>
      </c>
      <c r="BS2" s="9">
        <f t="shared" si="7"/>
        <v>11</v>
      </c>
      <c r="BT2" s="9">
        <f t="shared" si="7"/>
        <v>11</v>
      </c>
      <c r="BU2" s="9">
        <f t="shared" si="7"/>
        <v>11</v>
      </c>
      <c r="BV2" s="9">
        <f t="shared" si="7"/>
        <v>11</v>
      </c>
      <c r="BW2" s="9">
        <f t="shared" si="7"/>
        <v>11</v>
      </c>
      <c r="BX2" s="9">
        <f t="shared" si="7"/>
        <v>11</v>
      </c>
      <c r="BY2" s="9">
        <f t="shared" si="7"/>
        <v>11</v>
      </c>
      <c r="BZ2" s="9">
        <f t="shared" si="7"/>
        <v>12</v>
      </c>
      <c r="CA2" s="9">
        <f t="shared" si="7"/>
        <v>12</v>
      </c>
      <c r="CB2" s="9">
        <f t="shared" si="7"/>
        <v>12</v>
      </c>
      <c r="CC2" s="9">
        <f t="shared" si="7"/>
        <v>12</v>
      </c>
      <c r="CD2" s="9">
        <f t="shared" si="7"/>
        <v>12</v>
      </c>
      <c r="CE2" s="9">
        <f t="shared" si="7"/>
        <v>12</v>
      </c>
      <c r="CF2" s="9">
        <f t="shared" si="7"/>
        <v>12</v>
      </c>
      <c r="CG2" s="9">
        <f t="shared" si="7"/>
        <v>13</v>
      </c>
      <c r="CH2" s="9">
        <f t="shared" si="7"/>
        <v>13</v>
      </c>
      <c r="CI2" s="9">
        <f t="shared" si="7"/>
        <v>13</v>
      </c>
      <c r="CJ2" s="9">
        <f t="shared" si="7"/>
        <v>13</v>
      </c>
      <c r="CK2" s="9">
        <f t="shared" si="7"/>
        <v>13</v>
      </c>
      <c r="CL2" s="9">
        <f t="shared" si="7"/>
        <v>13</v>
      </c>
      <c r="CM2" s="9">
        <f t="shared" si="7"/>
        <v>13</v>
      </c>
      <c r="CN2" s="9">
        <f t="shared" si="7"/>
        <v>14</v>
      </c>
      <c r="CO2" s="9">
        <f t="shared" si="7"/>
        <v>14</v>
      </c>
      <c r="CP2" s="9">
        <f t="shared" si="7"/>
        <v>14</v>
      </c>
      <c r="CQ2" s="9">
        <f t="shared" si="7"/>
        <v>14</v>
      </c>
      <c r="CR2" s="9">
        <f t="shared" si="7"/>
        <v>14</v>
      </c>
      <c r="CS2" s="9">
        <f t="shared" si="7"/>
        <v>14</v>
      </c>
      <c r="CT2" s="9">
        <f t="shared" si="7"/>
        <v>14</v>
      </c>
      <c r="CU2" s="9">
        <f t="shared" si="7"/>
        <v>15</v>
      </c>
      <c r="CV2" s="9">
        <f t="shared" si="7"/>
        <v>15</v>
      </c>
      <c r="CW2" s="9">
        <f t="shared" si="7"/>
        <v>15</v>
      </c>
      <c r="CX2" s="9">
        <f t="shared" si="7"/>
        <v>15</v>
      </c>
      <c r="CY2" s="9">
        <f t="shared" si="7"/>
        <v>15</v>
      </c>
      <c r="CZ2" s="9">
        <f t="shared" si="7"/>
        <v>15</v>
      </c>
      <c r="DA2" s="9">
        <f t="shared" si="7"/>
        <v>15</v>
      </c>
      <c r="DB2" s="9">
        <f t="shared" si="7"/>
        <v>16</v>
      </c>
      <c r="DC2" s="9">
        <f t="shared" si="7"/>
        <v>16</v>
      </c>
      <c r="DD2" s="9">
        <f t="shared" si="7"/>
        <v>16</v>
      </c>
      <c r="DE2" s="9">
        <f t="shared" si="7"/>
        <v>16</v>
      </c>
      <c r="DF2" s="9">
        <f t="shared" si="7"/>
        <v>16</v>
      </c>
      <c r="DG2" s="9">
        <f t="shared" si="7"/>
        <v>16</v>
      </c>
      <c r="DH2" s="9">
        <f t="shared" si="7"/>
        <v>16</v>
      </c>
      <c r="DI2" s="9">
        <f t="shared" si="7"/>
        <v>17</v>
      </c>
      <c r="DJ2" s="9">
        <f t="shared" si="7"/>
        <v>17</v>
      </c>
      <c r="DK2" s="9">
        <f t="shared" si="7"/>
        <v>17</v>
      </c>
      <c r="DL2" s="9">
        <f t="shared" si="7"/>
        <v>17</v>
      </c>
      <c r="DM2" s="9">
        <f t="shared" si="7"/>
        <v>17</v>
      </c>
      <c r="DN2" s="9">
        <f t="shared" si="7"/>
        <v>17</v>
      </c>
      <c r="DO2" s="9">
        <f t="shared" si="7"/>
        <v>17</v>
      </c>
      <c r="DP2" s="9">
        <f t="shared" si="7"/>
        <v>18</v>
      </c>
      <c r="DQ2" s="9">
        <f t="shared" si="7"/>
        <v>18</v>
      </c>
      <c r="DR2" s="9">
        <f t="shared" si="7"/>
        <v>18</v>
      </c>
      <c r="DS2" s="9">
        <f t="shared" si="7"/>
        <v>18</v>
      </c>
      <c r="DT2" s="9">
        <f t="shared" si="7"/>
        <v>18</v>
      </c>
      <c r="DU2" s="9">
        <f t="shared" si="7"/>
        <v>18</v>
      </c>
      <c r="DV2" s="9">
        <f t="shared" si="7"/>
        <v>18</v>
      </c>
      <c r="DW2" s="9">
        <f t="shared" si="7"/>
        <v>19</v>
      </c>
      <c r="DX2" s="9">
        <f t="shared" si="7"/>
        <v>19</v>
      </c>
      <c r="DY2" s="9">
        <f t="shared" si="7"/>
        <v>19</v>
      </c>
      <c r="DZ2" s="9">
        <f t="shared" si="7"/>
        <v>19</v>
      </c>
      <c r="EA2" s="9">
        <f t="shared" si="7"/>
        <v>19</v>
      </c>
      <c r="EB2" s="9">
        <f t="shared" si="7"/>
        <v>19</v>
      </c>
      <c r="EC2" s="9">
        <f t="shared" ref="EC2:GN2" si="8">WEEKNUM(EC4)</f>
        <v>19</v>
      </c>
      <c r="ED2" s="9">
        <f t="shared" si="8"/>
        <v>20</v>
      </c>
      <c r="EE2" s="9">
        <f t="shared" si="8"/>
        <v>20</v>
      </c>
      <c r="EF2" s="9">
        <f t="shared" si="8"/>
        <v>20</v>
      </c>
      <c r="EG2" s="9">
        <f t="shared" si="8"/>
        <v>20</v>
      </c>
      <c r="EH2" s="9">
        <f t="shared" si="8"/>
        <v>20</v>
      </c>
      <c r="EI2" s="9">
        <f t="shared" si="8"/>
        <v>20</v>
      </c>
      <c r="EJ2" s="9">
        <f t="shared" si="8"/>
        <v>20</v>
      </c>
      <c r="EK2" s="9">
        <f t="shared" si="8"/>
        <v>21</v>
      </c>
      <c r="EL2" s="9">
        <f t="shared" si="8"/>
        <v>21</v>
      </c>
      <c r="EM2" s="9">
        <f t="shared" si="8"/>
        <v>21</v>
      </c>
      <c r="EN2" s="9">
        <f t="shared" si="8"/>
        <v>21</v>
      </c>
      <c r="EO2" s="9">
        <f t="shared" si="8"/>
        <v>21</v>
      </c>
      <c r="EP2" s="9">
        <f t="shared" si="8"/>
        <v>21</v>
      </c>
      <c r="EQ2" s="9">
        <f t="shared" si="8"/>
        <v>21</v>
      </c>
      <c r="ER2" s="9">
        <f t="shared" si="8"/>
        <v>22</v>
      </c>
      <c r="ES2" s="9">
        <f t="shared" si="8"/>
        <v>22</v>
      </c>
      <c r="ET2" s="9">
        <f t="shared" si="8"/>
        <v>22</v>
      </c>
      <c r="EU2" s="9">
        <f t="shared" si="8"/>
        <v>22</v>
      </c>
      <c r="EV2" s="9">
        <f>WEEKNUM(ET4)</f>
        <v>22</v>
      </c>
      <c r="EW2" s="9">
        <f t="shared" si="8"/>
        <v>22</v>
      </c>
      <c r="EX2" s="9">
        <f t="shared" si="8"/>
        <v>22</v>
      </c>
      <c r="EY2" s="9">
        <f t="shared" si="8"/>
        <v>23</v>
      </c>
      <c r="EZ2" s="9">
        <f t="shared" si="8"/>
        <v>23</v>
      </c>
      <c r="FA2" s="9">
        <f t="shared" si="8"/>
        <v>23</v>
      </c>
      <c r="FB2" s="9">
        <f t="shared" si="8"/>
        <v>23</v>
      </c>
      <c r="FC2" s="9">
        <f t="shared" si="8"/>
        <v>23</v>
      </c>
      <c r="FD2" s="9">
        <f t="shared" si="8"/>
        <v>23</v>
      </c>
      <c r="FE2" s="9">
        <f t="shared" si="8"/>
        <v>23</v>
      </c>
      <c r="FF2" s="9">
        <f t="shared" si="8"/>
        <v>24</v>
      </c>
      <c r="FG2" s="9">
        <f t="shared" si="8"/>
        <v>24</v>
      </c>
      <c r="FH2" s="9">
        <f t="shared" si="8"/>
        <v>24</v>
      </c>
      <c r="FI2" s="9">
        <f t="shared" si="8"/>
        <v>24</v>
      </c>
      <c r="FJ2" s="9">
        <f t="shared" si="8"/>
        <v>24</v>
      </c>
      <c r="FK2" s="9">
        <f t="shared" si="8"/>
        <v>24</v>
      </c>
      <c r="FL2" s="9">
        <f t="shared" si="8"/>
        <v>24</v>
      </c>
      <c r="FM2" s="9">
        <f t="shared" si="8"/>
        <v>25</v>
      </c>
      <c r="FN2" s="9">
        <f t="shared" si="8"/>
        <v>25</v>
      </c>
      <c r="FO2" s="9">
        <f t="shared" si="8"/>
        <v>25</v>
      </c>
      <c r="FP2" s="9">
        <f t="shared" si="8"/>
        <v>25</v>
      </c>
      <c r="FQ2" s="9">
        <f t="shared" si="8"/>
        <v>25</v>
      </c>
      <c r="FR2" s="9">
        <f t="shared" si="8"/>
        <v>25</v>
      </c>
      <c r="FS2" s="9">
        <f t="shared" si="8"/>
        <v>25</v>
      </c>
      <c r="FT2" s="9">
        <f>WEEKNUM(FT4)</f>
        <v>26</v>
      </c>
      <c r="FU2" s="9">
        <f t="shared" si="8"/>
        <v>26</v>
      </c>
      <c r="FV2" s="9">
        <f>WEEKNUM(FT4)</f>
        <v>26</v>
      </c>
      <c r="FW2" s="9">
        <f t="shared" si="8"/>
        <v>26</v>
      </c>
      <c r="FX2" s="9">
        <f t="shared" si="8"/>
        <v>26</v>
      </c>
      <c r="FY2" s="9">
        <f t="shared" si="8"/>
        <v>26</v>
      </c>
      <c r="FZ2" s="9">
        <f t="shared" si="8"/>
        <v>26</v>
      </c>
      <c r="GA2" s="9">
        <f t="shared" si="8"/>
        <v>27</v>
      </c>
      <c r="GB2" s="9">
        <f t="shared" si="8"/>
        <v>27</v>
      </c>
      <c r="GC2" s="9">
        <f t="shared" si="8"/>
        <v>27</v>
      </c>
      <c r="GD2" s="9">
        <f t="shared" si="8"/>
        <v>27</v>
      </c>
      <c r="GE2" s="9">
        <f t="shared" si="8"/>
        <v>27</v>
      </c>
      <c r="GF2" s="9">
        <f t="shared" si="8"/>
        <v>27</v>
      </c>
      <c r="GG2" s="9">
        <f t="shared" si="8"/>
        <v>27</v>
      </c>
      <c r="GH2" s="9">
        <f t="shared" si="8"/>
        <v>28</v>
      </c>
      <c r="GI2" s="9">
        <f t="shared" si="8"/>
        <v>28</v>
      </c>
      <c r="GJ2" s="9">
        <f t="shared" si="8"/>
        <v>28</v>
      </c>
      <c r="GK2" s="9">
        <f t="shared" si="8"/>
        <v>28</v>
      </c>
      <c r="GL2" s="9">
        <f t="shared" si="8"/>
        <v>28</v>
      </c>
      <c r="GM2" s="9">
        <f t="shared" si="8"/>
        <v>28</v>
      </c>
      <c r="GN2" s="9">
        <f t="shared" si="8"/>
        <v>28</v>
      </c>
      <c r="GO2" s="9">
        <f t="shared" ref="GO2:IZ2" si="9">WEEKNUM(GO4)</f>
        <v>29</v>
      </c>
      <c r="GP2" s="9">
        <f t="shared" si="9"/>
        <v>29</v>
      </c>
      <c r="GQ2" s="9">
        <f t="shared" si="9"/>
        <v>29</v>
      </c>
      <c r="GR2" s="9">
        <f t="shared" si="9"/>
        <v>29</v>
      </c>
      <c r="GS2" s="9">
        <f t="shared" si="9"/>
        <v>29</v>
      </c>
      <c r="GT2" s="9">
        <f t="shared" si="9"/>
        <v>29</v>
      </c>
      <c r="GU2" s="9">
        <f t="shared" si="9"/>
        <v>29</v>
      </c>
      <c r="GV2" s="9">
        <f t="shared" si="9"/>
        <v>30</v>
      </c>
      <c r="GW2" s="9">
        <f>WEEKNUM(GU4)</f>
        <v>29</v>
      </c>
      <c r="GX2" s="9">
        <f t="shared" si="9"/>
        <v>30</v>
      </c>
      <c r="GY2" s="9">
        <f t="shared" si="9"/>
        <v>30</v>
      </c>
      <c r="GZ2" s="9">
        <f t="shared" si="9"/>
        <v>30</v>
      </c>
      <c r="HA2" s="9">
        <f t="shared" si="9"/>
        <v>30</v>
      </c>
      <c r="HB2" s="9">
        <f t="shared" si="9"/>
        <v>30</v>
      </c>
      <c r="HC2" s="9">
        <f t="shared" si="9"/>
        <v>31</v>
      </c>
      <c r="HD2" s="9">
        <f t="shared" si="9"/>
        <v>31</v>
      </c>
      <c r="HE2" s="9">
        <f t="shared" si="9"/>
        <v>31</v>
      </c>
      <c r="HF2" s="9">
        <f t="shared" si="9"/>
        <v>31</v>
      </c>
      <c r="HG2" s="9">
        <f t="shared" si="9"/>
        <v>31</v>
      </c>
      <c r="HH2" s="9">
        <f t="shared" si="9"/>
        <v>31</v>
      </c>
      <c r="HI2" s="9">
        <f t="shared" si="9"/>
        <v>31</v>
      </c>
      <c r="HJ2" s="9">
        <f t="shared" si="9"/>
        <v>32</v>
      </c>
      <c r="HK2" s="9">
        <f t="shared" si="9"/>
        <v>32</v>
      </c>
      <c r="HL2" s="9">
        <f t="shared" si="9"/>
        <v>32</v>
      </c>
      <c r="HM2" s="9">
        <f t="shared" si="9"/>
        <v>32</v>
      </c>
      <c r="HN2" s="9">
        <f t="shared" si="9"/>
        <v>32</v>
      </c>
      <c r="HO2" s="9">
        <f t="shared" si="9"/>
        <v>32</v>
      </c>
      <c r="HP2" s="9">
        <f t="shared" si="9"/>
        <v>32</v>
      </c>
      <c r="HQ2" s="9">
        <f t="shared" si="9"/>
        <v>33</v>
      </c>
      <c r="HR2" s="9">
        <f t="shared" si="9"/>
        <v>33</v>
      </c>
      <c r="HS2" s="9">
        <f t="shared" si="9"/>
        <v>33</v>
      </c>
      <c r="HT2" s="9">
        <f t="shared" si="9"/>
        <v>33</v>
      </c>
      <c r="HU2" s="9">
        <f t="shared" si="9"/>
        <v>33</v>
      </c>
      <c r="HV2" s="9">
        <f t="shared" si="9"/>
        <v>33</v>
      </c>
      <c r="HW2" s="9">
        <f t="shared" si="9"/>
        <v>33</v>
      </c>
      <c r="HX2" s="9">
        <f t="shared" si="9"/>
        <v>34</v>
      </c>
      <c r="HY2" s="9">
        <f t="shared" si="9"/>
        <v>34</v>
      </c>
      <c r="HZ2" s="9">
        <f t="shared" si="9"/>
        <v>34</v>
      </c>
      <c r="IA2" s="9">
        <f t="shared" si="9"/>
        <v>34</v>
      </c>
      <c r="IB2" s="9">
        <f t="shared" si="9"/>
        <v>34</v>
      </c>
      <c r="IC2" s="9">
        <f t="shared" si="9"/>
        <v>34</v>
      </c>
      <c r="ID2" s="9">
        <f t="shared" si="9"/>
        <v>34</v>
      </c>
      <c r="IE2" s="9">
        <f t="shared" si="9"/>
        <v>35</v>
      </c>
      <c r="IF2" s="9">
        <f t="shared" si="9"/>
        <v>35</v>
      </c>
      <c r="IG2" s="9">
        <f t="shared" si="9"/>
        <v>35</v>
      </c>
      <c r="IH2" s="9">
        <f t="shared" si="9"/>
        <v>35</v>
      </c>
      <c r="II2" s="9">
        <f t="shared" si="9"/>
        <v>35</v>
      </c>
      <c r="IJ2" s="9">
        <f t="shared" si="9"/>
        <v>35</v>
      </c>
      <c r="IK2" s="9">
        <f t="shared" si="9"/>
        <v>35</v>
      </c>
      <c r="IL2" s="9">
        <f t="shared" si="9"/>
        <v>36</v>
      </c>
      <c r="IM2" s="9">
        <f t="shared" si="9"/>
        <v>36</v>
      </c>
      <c r="IN2" s="9">
        <f t="shared" si="9"/>
        <v>36</v>
      </c>
      <c r="IO2" s="9">
        <f t="shared" si="9"/>
        <v>36</v>
      </c>
      <c r="IP2" s="9">
        <f t="shared" si="9"/>
        <v>36</v>
      </c>
      <c r="IQ2" s="9">
        <f t="shared" si="9"/>
        <v>36</v>
      </c>
      <c r="IR2" s="9">
        <f t="shared" si="9"/>
        <v>36</v>
      </c>
      <c r="IS2" s="9">
        <f t="shared" si="9"/>
        <v>37</v>
      </c>
      <c r="IT2" s="9">
        <f t="shared" si="9"/>
        <v>37</v>
      </c>
      <c r="IU2" s="9">
        <f t="shared" si="9"/>
        <v>37</v>
      </c>
      <c r="IV2" s="9">
        <f t="shared" si="9"/>
        <v>37</v>
      </c>
      <c r="IW2" s="9">
        <f t="shared" si="9"/>
        <v>37</v>
      </c>
      <c r="IX2" s="9">
        <f t="shared" si="9"/>
        <v>37</v>
      </c>
      <c r="IY2" s="9">
        <f t="shared" si="9"/>
        <v>37</v>
      </c>
      <c r="IZ2" s="9">
        <f t="shared" si="9"/>
        <v>38</v>
      </c>
      <c r="JA2" s="9">
        <f t="shared" ref="JA2:LL2" si="10">WEEKNUM(JA4)</f>
        <v>38</v>
      </c>
      <c r="JB2" s="9">
        <f t="shared" si="10"/>
        <v>38</v>
      </c>
      <c r="JC2" s="9">
        <f t="shared" si="10"/>
        <v>38</v>
      </c>
      <c r="JD2" s="9">
        <f t="shared" si="10"/>
        <v>38</v>
      </c>
      <c r="JE2" s="9">
        <f t="shared" si="10"/>
        <v>38</v>
      </c>
      <c r="JF2" s="9">
        <f t="shared" si="10"/>
        <v>38</v>
      </c>
      <c r="JG2" s="9">
        <f t="shared" si="10"/>
        <v>39</v>
      </c>
      <c r="JH2" s="9">
        <f t="shared" si="10"/>
        <v>39</v>
      </c>
      <c r="JI2" s="9">
        <f t="shared" si="10"/>
        <v>39</v>
      </c>
      <c r="JJ2" s="9">
        <f t="shared" si="10"/>
        <v>39</v>
      </c>
      <c r="JK2" s="9">
        <f t="shared" si="10"/>
        <v>39</v>
      </c>
      <c r="JL2" s="9">
        <f t="shared" si="10"/>
        <v>39</v>
      </c>
      <c r="JM2" s="9">
        <f t="shared" si="10"/>
        <v>39</v>
      </c>
      <c r="JN2" s="9">
        <f t="shared" si="10"/>
        <v>40</v>
      </c>
      <c r="JO2" s="9">
        <f t="shared" si="10"/>
        <v>40</v>
      </c>
      <c r="JP2" s="9">
        <f t="shared" si="10"/>
        <v>40</v>
      </c>
      <c r="JQ2" s="9">
        <f t="shared" si="10"/>
        <v>40</v>
      </c>
      <c r="JR2" s="9">
        <f t="shared" si="10"/>
        <v>40</v>
      </c>
      <c r="JS2" s="9">
        <f t="shared" si="10"/>
        <v>40</v>
      </c>
      <c r="JT2" s="9">
        <f t="shared" si="10"/>
        <v>40</v>
      </c>
      <c r="JU2" s="9">
        <f t="shared" si="10"/>
        <v>41</v>
      </c>
      <c r="JV2" s="9">
        <f t="shared" si="10"/>
        <v>41</v>
      </c>
      <c r="JW2" s="9">
        <f t="shared" si="10"/>
        <v>41</v>
      </c>
      <c r="JX2" s="9">
        <f t="shared" si="10"/>
        <v>41</v>
      </c>
      <c r="JY2" s="9">
        <f t="shared" si="10"/>
        <v>41</v>
      </c>
      <c r="JZ2" s="9">
        <f t="shared" si="10"/>
        <v>41</v>
      </c>
      <c r="KA2" s="9">
        <f t="shared" si="10"/>
        <v>41</v>
      </c>
      <c r="KB2" s="9">
        <f t="shared" si="10"/>
        <v>42</v>
      </c>
      <c r="KC2" s="9">
        <f t="shared" si="10"/>
        <v>42</v>
      </c>
      <c r="KD2" s="9">
        <f t="shared" si="10"/>
        <v>42</v>
      </c>
      <c r="KE2" s="9">
        <f t="shared" si="10"/>
        <v>42</v>
      </c>
      <c r="KF2" s="9">
        <f t="shared" si="10"/>
        <v>42</v>
      </c>
      <c r="KG2" s="9">
        <f t="shared" si="10"/>
        <v>42</v>
      </c>
      <c r="KH2" s="9">
        <f t="shared" si="10"/>
        <v>42</v>
      </c>
      <c r="KI2" s="9">
        <f t="shared" si="10"/>
        <v>43</v>
      </c>
      <c r="KJ2" s="9">
        <f t="shared" si="10"/>
        <v>43</v>
      </c>
      <c r="KK2" s="9">
        <f t="shared" si="10"/>
        <v>43</v>
      </c>
      <c r="KL2" s="9">
        <f t="shared" si="10"/>
        <v>43</v>
      </c>
      <c r="KM2" s="9">
        <f t="shared" si="10"/>
        <v>43</v>
      </c>
      <c r="KN2" s="9">
        <f t="shared" si="10"/>
        <v>43</v>
      </c>
      <c r="KO2" s="9">
        <f t="shared" si="10"/>
        <v>43</v>
      </c>
      <c r="KP2" s="9">
        <f t="shared" si="10"/>
        <v>44</v>
      </c>
      <c r="KQ2" s="9">
        <f t="shared" si="10"/>
        <v>44</v>
      </c>
      <c r="KR2" s="9">
        <f t="shared" si="10"/>
        <v>44</v>
      </c>
      <c r="KS2" s="9">
        <f t="shared" si="10"/>
        <v>44</v>
      </c>
      <c r="KT2" s="9">
        <f t="shared" si="10"/>
        <v>44</v>
      </c>
      <c r="KU2" s="9">
        <f t="shared" si="10"/>
        <v>44</v>
      </c>
      <c r="KV2" s="9">
        <f t="shared" si="10"/>
        <v>44</v>
      </c>
      <c r="KW2" s="9">
        <f t="shared" si="10"/>
        <v>45</v>
      </c>
      <c r="KX2" s="9">
        <f t="shared" si="10"/>
        <v>45</v>
      </c>
      <c r="KY2" s="9">
        <f t="shared" si="10"/>
        <v>45</v>
      </c>
      <c r="KZ2" s="9">
        <f t="shared" si="10"/>
        <v>45</v>
      </c>
      <c r="LA2" s="9">
        <f t="shared" si="10"/>
        <v>45</v>
      </c>
      <c r="LB2" s="9">
        <f t="shared" si="10"/>
        <v>45</v>
      </c>
      <c r="LC2" s="9">
        <f t="shared" si="10"/>
        <v>45</v>
      </c>
      <c r="LD2" s="9">
        <f t="shared" si="10"/>
        <v>46</v>
      </c>
      <c r="LE2" s="9">
        <f t="shared" si="10"/>
        <v>46</v>
      </c>
      <c r="LF2" s="9">
        <f t="shared" si="10"/>
        <v>46</v>
      </c>
      <c r="LG2" s="9">
        <f t="shared" si="10"/>
        <v>46</v>
      </c>
      <c r="LH2" s="9">
        <f t="shared" si="10"/>
        <v>46</v>
      </c>
      <c r="LI2" s="9">
        <f t="shared" si="10"/>
        <v>46</v>
      </c>
      <c r="LJ2" s="9">
        <f t="shared" si="10"/>
        <v>46</v>
      </c>
      <c r="LK2" s="9">
        <f t="shared" si="10"/>
        <v>47</v>
      </c>
      <c r="LL2" s="9">
        <f t="shared" si="10"/>
        <v>47</v>
      </c>
      <c r="LM2" s="9">
        <f t="shared" ref="LM2:NC2" si="11">WEEKNUM(LM4)</f>
        <v>47</v>
      </c>
      <c r="LN2" s="9">
        <f t="shared" si="11"/>
        <v>47</v>
      </c>
      <c r="LO2" s="9">
        <f t="shared" si="11"/>
        <v>47</v>
      </c>
      <c r="LP2" s="9">
        <f t="shared" si="11"/>
        <v>47</v>
      </c>
      <c r="LQ2" s="9">
        <f t="shared" si="11"/>
        <v>47</v>
      </c>
      <c r="LR2" s="9">
        <f t="shared" si="11"/>
        <v>48</v>
      </c>
      <c r="LS2" s="9">
        <f t="shared" si="11"/>
        <v>48</v>
      </c>
      <c r="LT2" s="9">
        <f t="shared" si="11"/>
        <v>48</v>
      </c>
      <c r="LU2" s="9">
        <f t="shared" si="11"/>
        <v>48</v>
      </c>
      <c r="LV2" s="9">
        <f t="shared" si="11"/>
        <v>48</v>
      </c>
      <c r="LW2" s="9">
        <f t="shared" si="11"/>
        <v>48</v>
      </c>
      <c r="LX2" s="9">
        <f t="shared" si="11"/>
        <v>48</v>
      </c>
      <c r="LY2" s="9">
        <f t="shared" si="11"/>
        <v>49</v>
      </c>
      <c r="LZ2" s="9">
        <f t="shared" si="11"/>
        <v>49</v>
      </c>
      <c r="MA2" s="9">
        <f t="shared" si="11"/>
        <v>49</v>
      </c>
      <c r="MB2" s="9">
        <f t="shared" si="11"/>
        <v>49</v>
      </c>
      <c r="MC2" s="9">
        <f t="shared" si="11"/>
        <v>49</v>
      </c>
      <c r="MD2" s="9">
        <f t="shared" si="11"/>
        <v>49</v>
      </c>
      <c r="ME2" s="9">
        <f t="shared" si="11"/>
        <v>49</v>
      </c>
      <c r="MF2" s="9">
        <f t="shared" si="11"/>
        <v>50</v>
      </c>
      <c r="MG2" s="9">
        <f t="shared" si="11"/>
        <v>50</v>
      </c>
      <c r="MH2" s="9">
        <f t="shared" si="11"/>
        <v>50</v>
      </c>
      <c r="MI2" s="9">
        <f t="shared" si="11"/>
        <v>50</v>
      </c>
      <c r="MJ2" s="9">
        <f t="shared" si="11"/>
        <v>50</v>
      </c>
      <c r="MK2" s="9">
        <f t="shared" si="11"/>
        <v>50</v>
      </c>
      <c r="ML2" s="9">
        <f t="shared" si="11"/>
        <v>50</v>
      </c>
      <c r="MM2" s="9">
        <f t="shared" si="11"/>
        <v>51</v>
      </c>
      <c r="MN2" s="9">
        <f t="shared" si="11"/>
        <v>51</v>
      </c>
      <c r="MO2" s="9">
        <f t="shared" si="11"/>
        <v>51</v>
      </c>
      <c r="MP2" s="9">
        <f t="shared" si="11"/>
        <v>51</v>
      </c>
      <c r="MQ2" s="9">
        <f t="shared" si="11"/>
        <v>51</v>
      </c>
      <c r="MR2" s="9">
        <f t="shared" si="11"/>
        <v>51</v>
      </c>
      <c r="MS2" s="9">
        <f t="shared" si="11"/>
        <v>51</v>
      </c>
      <c r="MT2" s="9">
        <f t="shared" si="11"/>
        <v>52</v>
      </c>
      <c r="MU2" s="9">
        <f t="shared" si="11"/>
        <v>52</v>
      </c>
      <c r="MV2" s="9">
        <f t="shared" si="11"/>
        <v>52</v>
      </c>
      <c r="MW2" s="9">
        <f t="shared" si="11"/>
        <v>52</v>
      </c>
      <c r="MX2" s="9">
        <f t="shared" si="11"/>
        <v>52</v>
      </c>
      <c r="MY2" s="9">
        <f t="shared" si="11"/>
        <v>52</v>
      </c>
      <c r="MZ2" s="9">
        <f t="shared" si="11"/>
        <v>52</v>
      </c>
      <c r="NA2" s="9">
        <f t="shared" si="11"/>
        <v>53</v>
      </c>
      <c r="NB2" s="9">
        <f t="shared" si="11"/>
        <v>53</v>
      </c>
      <c r="NC2" s="9">
        <f t="shared" si="11"/>
        <v>53</v>
      </c>
    </row>
    <row r="3" spans="1:421" s="5" customFormat="1" ht="35.25" customHeight="1" x14ac:dyDescent="0.3">
      <c r="A3" s="56"/>
      <c r="B3" s="56"/>
      <c r="C3" s="8" t="s">
        <v>205</v>
      </c>
      <c r="D3" s="1">
        <f t="shared" ref="D3:BO3" si="12">COUNTA(D6:D1048576)</f>
        <v>0</v>
      </c>
      <c r="E3" s="1">
        <f t="shared" si="12"/>
        <v>1</v>
      </c>
      <c r="F3" s="1">
        <f t="shared" si="12"/>
        <v>1</v>
      </c>
      <c r="G3" s="1">
        <f t="shared" si="12"/>
        <v>1</v>
      </c>
      <c r="H3" s="1">
        <f t="shared" si="12"/>
        <v>0</v>
      </c>
      <c r="I3" s="1">
        <f t="shared" si="12"/>
        <v>1</v>
      </c>
      <c r="J3" s="1">
        <f t="shared" si="12"/>
        <v>1</v>
      </c>
      <c r="K3" s="1">
        <f t="shared" si="12"/>
        <v>1</v>
      </c>
      <c r="L3" s="1">
        <f t="shared" si="12"/>
        <v>1</v>
      </c>
      <c r="M3" s="1">
        <f t="shared" si="12"/>
        <v>1</v>
      </c>
      <c r="N3" s="1">
        <f t="shared" si="12"/>
        <v>1</v>
      </c>
      <c r="O3" s="1">
        <f t="shared" si="12"/>
        <v>0</v>
      </c>
      <c r="P3" s="1">
        <f t="shared" si="12"/>
        <v>1</v>
      </c>
      <c r="Q3" s="1">
        <f t="shared" si="12"/>
        <v>1</v>
      </c>
      <c r="R3" s="1">
        <f t="shared" si="12"/>
        <v>1</v>
      </c>
      <c r="S3" s="1">
        <f t="shared" si="12"/>
        <v>1</v>
      </c>
      <c r="T3" s="1">
        <f t="shared" si="12"/>
        <v>1</v>
      </c>
      <c r="U3" s="1">
        <f t="shared" si="12"/>
        <v>1</v>
      </c>
      <c r="V3" s="1">
        <f t="shared" si="12"/>
        <v>0</v>
      </c>
      <c r="W3" s="1">
        <f t="shared" si="12"/>
        <v>1</v>
      </c>
      <c r="X3" s="1">
        <f t="shared" si="12"/>
        <v>1</v>
      </c>
      <c r="Y3" s="1">
        <f t="shared" si="12"/>
        <v>1</v>
      </c>
      <c r="Z3" s="1">
        <f t="shared" si="12"/>
        <v>1</v>
      </c>
      <c r="AA3" s="1">
        <f t="shared" si="12"/>
        <v>1</v>
      </c>
      <c r="AB3" s="1">
        <f t="shared" si="12"/>
        <v>1</v>
      </c>
      <c r="AC3" s="1">
        <f t="shared" si="12"/>
        <v>0</v>
      </c>
      <c r="AD3" s="1">
        <f t="shared" si="12"/>
        <v>1</v>
      </c>
      <c r="AE3" s="1">
        <f t="shared" si="12"/>
        <v>1</v>
      </c>
      <c r="AF3" s="1">
        <f t="shared" si="12"/>
        <v>1</v>
      </c>
      <c r="AG3" s="1">
        <f t="shared" si="12"/>
        <v>1</v>
      </c>
      <c r="AH3" s="1">
        <f t="shared" si="12"/>
        <v>1</v>
      </c>
      <c r="AI3" s="1">
        <f t="shared" si="12"/>
        <v>1</v>
      </c>
      <c r="AJ3" s="1">
        <f t="shared" si="12"/>
        <v>0</v>
      </c>
      <c r="AK3" s="1">
        <f t="shared" si="12"/>
        <v>1</v>
      </c>
      <c r="AL3" s="1">
        <f t="shared" si="12"/>
        <v>1</v>
      </c>
      <c r="AM3" s="1">
        <f t="shared" si="12"/>
        <v>1</v>
      </c>
      <c r="AN3" s="1">
        <f t="shared" si="12"/>
        <v>1</v>
      </c>
      <c r="AO3" s="1">
        <f t="shared" si="12"/>
        <v>1</v>
      </c>
      <c r="AP3" s="1">
        <f t="shared" si="12"/>
        <v>1</v>
      </c>
      <c r="AQ3" s="1">
        <f t="shared" si="12"/>
        <v>0</v>
      </c>
      <c r="AR3" s="1">
        <f t="shared" si="12"/>
        <v>1</v>
      </c>
      <c r="AS3" s="1">
        <f t="shared" si="12"/>
        <v>1</v>
      </c>
      <c r="AT3" s="1">
        <f t="shared" si="12"/>
        <v>1</v>
      </c>
      <c r="AU3" s="1">
        <f t="shared" si="12"/>
        <v>1</v>
      </c>
      <c r="AV3" s="1">
        <f t="shared" si="12"/>
        <v>1</v>
      </c>
      <c r="AW3" s="1">
        <f t="shared" si="12"/>
        <v>1</v>
      </c>
      <c r="AX3" s="1">
        <f t="shared" si="12"/>
        <v>0</v>
      </c>
      <c r="AY3" s="1">
        <f t="shared" si="12"/>
        <v>1</v>
      </c>
      <c r="AZ3" s="1">
        <f t="shared" si="12"/>
        <v>1</v>
      </c>
      <c r="BA3" s="1">
        <f t="shared" si="12"/>
        <v>1</v>
      </c>
      <c r="BB3" s="1">
        <f t="shared" si="12"/>
        <v>1</v>
      </c>
      <c r="BC3" s="1">
        <f t="shared" si="12"/>
        <v>1</v>
      </c>
      <c r="BD3" s="1">
        <f t="shared" si="12"/>
        <v>1</v>
      </c>
      <c r="BE3" s="1">
        <f t="shared" si="12"/>
        <v>0</v>
      </c>
      <c r="BF3" s="1">
        <f t="shared" si="12"/>
        <v>1</v>
      </c>
      <c r="BG3" s="1">
        <f t="shared" si="12"/>
        <v>1</v>
      </c>
      <c r="BH3" s="1">
        <f t="shared" si="12"/>
        <v>1</v>
      </c>
      <c r="BI3" s="1">
        <f t="shared" si="12"/>
        <v>1</v>
      </c>
      <c r="BJ3" s="1">
        <f t="shared" si="12"/>
        <v>1</v>
      </c>
      <c r="BK3" s="1">
        <f t="shared" si="12"/>
        <v>1</v>
      </c>
      <c r="BL3" s="1">
        <f t="shared" si="12"/>
        <v>0</v>
      </c>
      <c r="BM3" s="1">
        <f t="shared" si="12"/>
        <v>1</v>
      </c>
      <c r="BN3" s="1">
        <f t="shared" si="12"/>
        <v>1</v>
      </c>
      <c r="BO3" s="1">
        <f t="shared" si="12"/>
        <v>1</v>
      </c>
      <c r="BP3" s="1">
        <f t="shared" ref="BP3:EA3" si="13">COUNTA(BP6:BP1048576)</f>
        <v>1</v>
      </c>
      <c r="BQ3" s="1">
        <f t="shared" si="13"/>
        <v>1</v>
      </c>
      <c r="BR3" s="1">
        <f t="shared" si="13"/>
        <v>1</v>
      </c>
      <c r="BS3" s="1">
        <f t="shared" si="13"/>
        <v>0</v>
      </c>
      <c r="BT3" s="1">
        <f t="shared" si="13"/>
        <v>1</v>
      </c>
      <c r="BU3" s="1">
        <f t="shared" si="13"/>
        <v>1</v>
      </c>
      <c r="BV3" s="1">
        <f t="shared" si="13"/>
        <v>1</v>
      </c>
      <c r="BW3" s="1">
        <f t="shared" si="13"/>
        <v>1</v>
      </c>
      <c r="BX3" s="1">
        <f t="shared" si="13"/>
        <v>1</v>
      </c>
      <c r="BY3" s="1">
        <f t="shared" si="13"/>
        <v>1</v>
      </c>
      <c r="BZ3" s="1">
        <f t="shared" si="13"/>
        <v>0</v>
      </c>
      <c r="CA3" s="1">
        <f t="shared" si="13"/>
        <v>1</v>
      </c>
      <c r="CB3" s="1">
        <f t="shared" si="13"/>
        <v>1</v>
      </c>
      <c r="CC3" s="1">
        <f t="shared" si="13"/>
        <v>1</v>
      </c>
      <c r="CD3" s="1">
        <f t="shared" si="13"/>
        <v>1</v>
      </c>
      <c r="CE3" s="1">
        <f t="shared" si="13"/>
        <v>1</v>
      </c>
      <c r="CF3" s="1">
        <f t="shared" si="13"/>
        <v>1</v>
      </c>
      <c r="CG3" s="1">
        <f t="shared" si="13"/>
        <v>0</v>
      </c>
      <c r="CH3" s="1">
        <f t="shared" si="13"/>
        <v>1</v>
      </c>
      <c r="CI3" s="1">
        <f t="shared" si="13"/>
        <v>1</v>
      </c>
      <c r="CJ3" s="1">
        <f t="shared" si="13"/>
        <v>1</v>
      </c>
      <c r="CK3" s="1">
        <f t="shared" si="13"/>
        <v>1</v>
      </c>
      <c r="CL3" s="1">
        <f t="shared" si="13"/>
        <v>1</v>
      </c>
      <c r="CM3" s="1">
        <f t="shared" si="13"/>
        <v>1</v>
      </c>
      <c r="CN3" s="1">
        <f t="shared" si="13"/>
        <v>0</v>
      </c>
      <c r="CO3" s="1">
        <f t="shared" si="13"/>
        <v>1</v>
      </c>
      <c r="CP3" s="1">
        <f t="shared" si="13"/>
        <v>1</v>
      </c>
      <c r="CQ3" s="1">
        <f t="shared" si="13"/>
        <v>1</v>
      </c>
      <c r="CR3" s="1">
        <f t="shared" si="13"/>
        <v>1</v>
      </c>
      <c r="CS3" s="1">
        <f t="shared" si="13"/>
        <v>1</v>
      </c>
      <c r="CT3" s="1">
        <f t="shared" si="13"/>
        <v>1</v>
      </c>
      <c r="CU3" s="1">
        <f t="shared" si="13"/>
        <v>0</v>
      </c>
      <c r="CV3" s="1">
        <f t="shared" si="13"/>
        <v>1</v>
      </c>
      <c r="CW3" s="1">
        <f t="shared" si="13"/>
        <v>1</v>
      </c>
      <c r="CX3" s="1">
        <f t="shared" si="13"/>
        <v>1</v>
      </c>
      <c r="CY3" s="1">
        <f t="shared" si="13"/>
        <v>1</v>
      </c>
      <c r="CZ3" s="1">
        <f t="shared" si="13"/>
        <v>1</v>
      </c>
      <c r="DA3" s="1">
        <f t="shared" si="13"/>
        <v>1</v>
      </c>
      <c r="DB3" s="1">
        <f t="shared" si="13"/>
        <v>0</v>
      </c>
      <c r="DC3" s="1">
        <f t="shared" si="13"/>
        <v>1</v>
      </c>
      <c r="DD3" s="1">
        <f t="shared" si="13"/>
        <v>0</v>
      </c>
      <c r="DE3" s="1">
        <f t="shared" si="13"/>
        <v>0</v>
      </c>
      <c r="DF3" s="1">
        <f t="shared" si="13"/>
        <v>0</v>
      </c>
      <c r="DG3" s="1">
        <f t="shared" si="13"/>
        <v>0</v>
      </c>
      <c r="DH3" s="1">
        <f t="shared" si="13"/>
        <v>0</v>
      </c>
      <c r="DI3" s="1">
        <f t="shared" si="13"/>
        <v>0</v>
      </c>
      <c r="DJ3" s="1">
        <f t="shared" si="13"/>
        <v>0</v>
      </c>
      <c r="DK3" s="1">
        <f t="shared" si="13"/>
        <v>0</v>
      </c>
      <c r="DL3" s="1">
        <f t="shared" si="13"/>
        <v>0</v>
      </c>
      <c r="DM3" s="1">
        <f t="shared" si="13"/>
        <v>0</v>
      </c>
      <c r="DN3" s="1">
        <f t="shared" si="13"/>
        <v>0</v>
      </c>
      <c r="DO3" s="1">
        <f t="shared" si="13"/>
        <v>0</v>
      </c>
      <c r="DP3" s="1">
        <f t="shared" si="13"/>
        <v>0</v>
      </c>
      <c r="DQ3" s="1">
        <f t="shared" si="13"/>
        <v>0</v>
      </c>
      <c r="DR3" s="1">
        <f t="shared" si="13"/>
        <v>0</v>
      </c>
      <c r="DS3" s="1">
        <f t="shared" si="13"/>
        <v>0</v>
      </c>
      <c r="DT3" s="1">
        <f t="shared" si="13"/>
        <v>0</v>
      </c>
      <c r="DU3" s="1">
        <f t="shared" si="13"/>
        <v>0</v>
      </c>
      <c r="DV3" s="1">
        <f t="shared" si="13"/>
        <v>0</v>
      </c>
      <c r="DW3" s="1">
        <f t="shared" si="13"/>
        <v>0</v>
      </c>
      <c r="DX3" s="1">
        <f t="shared" si="13"/>
        <v>0</v>
      </c>
      <c r="DY3" s="1">
        <f t="shared" si="13"/>
        <v>0</v>
      </c>
      <c r="DZ3" s="1">
        <f t="shared" si="13"/>
        <v>0</v>
      </c>
      <c r="EA3" s="1">
        <f t="shared" si="13"/>
        <v>0</v>
      </c>
      <c r="EB3" s="1">
        <f t="shared" ref="EB3:GM3" si="14">COUNTA(EB6:EB1048576)</f>
        <v>0</v>
      </c>
      <c r="EC3" s="1">
        <f t="shared" si="14"/>
        <v>0</v>
      </c>
      <c r="ED3" s="1">
        <f t="shared" si="14"/>
        <v>0</v>
      </c>
      <c r="EE3" s="1">
        <f t="shared" si="14"/>
        <v>0</v>
      </c>
      <c r="EF3" s="1">
        <f t="shared" si="14"/>
        <v>0</v>
      </c>
      <c r="EG3" s="1">
        <f t="shared" si="14"/>
        <v>0</v>
      </c>
      <c r="EH3" s="1">
        <f t="shared" si="14"/>
        <v>0</v>
      </c>
      <c r="EI3" s="1">
        <f t="shared" si="14"/>
        <v>0</v>
      </c>
      <c r="EJ3" s="1">
        <f t="shared" si="14"/>
        <v>0</v>
      </c>
      <c r="EK3" s="1">
        <f t="shared" si="14"/>
        <v>0</v>
      </c>
      <c r="EL3" s="1">
        <f t="shared" si="14"/>
        <v>0</v>
      </c>
      <c r="EM3" s="1">
        <f t="shared" si="14"/>
        <v>0</v>
      </c>
      <c r="EN3" s="1">
        <f t="shared" si="14"/>
        <v>0</v>
      </c>
      <c r="EO3" s="1">
        <f t="shared" si="14"/>
        <v>0</v>
      </c>
      <c r="EP3" s="1">
        <f t="shared" si="14"/>
        <v>0</v>
      </c>
      <c r="EQ3" s="1">
        <f t="shared" si="14"/>
        <v>0</v>
      </c>
      <c r="ER3" s="1">
        <f t="shared" si="14"/>
        <v>0</v>
      </c>
      <c r="ES3" s="1">
        <f t="shared" si="14"/>
        <v>0</v>
      </c>
      <c r="ET3" s="1">
        <f t="shared" si="14"/>
        <v>0</v>
      </c>
      <c r="EU3" s="1">
        <f t="shared" si="14"/>
        <v>0</v>
      </c>
      <c r="EV3" s="1">
        <f t="shared" si="14"/>
        <v>0</v>
      </c>
      <c r="EW3" s="1">
        <f t="shared" si="14"/>
        <v>0</v>
      </c>
      <c r="EX3" s="1">
        <f t="shared" si="14"/>
        <v>0</v>
      </c>
      <c r="EY3" s="1">
        <f t="shared" si="14"/>
        <v>0</v>
      </c>
      <c r="EZ3" s="1">
        <f t="shared" si="14"/>
        <v>0</v>
      </c>
      <c r="FA3" s="1">
        <f t="shared" si="14"/>
        <v>0</v>
      </c>
      <c r="FB3" s="1">
        <f t="shared" si="14"/>
        <v>0</v>
      </c>
      <c r="FC3" s="1">
        <f t="shared" si="14"/>
        <v>0</v>
      </c>
      <c r="FD3" s="1">
        <f t="shared" si="14"/>
        <v>0</v>
      </c>
      <c r="FE3" s="1">
        <f t="shared" si="14"/>
        <v>0</v>
      </c>
      <c r="FF3" s="1">
        <f t="shared" si="14"/>
        <v>0</v>
      </c>
      <c r="FG3" s="1">
        <f t="shared" si="14"/>
        <v>0</v>
      </c>
      <c r="FH3" s="1">
        <f t="shared" si="14"/>
        <v>0</v>
      </c>
      <c r="FI3" s="1">
        <f t="shared" si="14"/>
        <v>0</v>
      </c>
      <c r="FJ3" s="1">
        <f t="shared" si="14"/>
        <v>0</v>
      </c>
      <c r="FK3" s="1">
        <f t="shared" si="14"/>
        <v>0</v>
      </c>
      <c r="FL3" s="1">
        <f t="shared" si="14"/>
        <v>0</v>
      </c>
      <c r="FM3" s="1">
        <f t="shared" si="14"/>
        <v>0</v>
      </c>
      <c r="FN3" s="1">
        <f t="shared" si="14"/>
        <v>0</v>
      </c>
      <c r="FO3" s="1">
        <f t="shared" si="14"/>
        <v>0</v>
      </c>
      <c r="FP3" s="1">
        <f t="shared" si="14"/>
        <v>0</v>
      </c>
      <c r="FQ3" s="1">
        <f t="shared" si="14"/>
        <v>0</v>
      </c>
      <c r="FR3" s="1">
        <f t="shared" si="14"/>
        <v>0</v>
      </c>
      <c r="FS3" s="1">
        <f t="shared" si="14"/>
        <v>0</v>
      </c>
      <c r="FT3" s="1">
        <f t="shared" si="14"/>
        <v>0</v>
      </c>
      <c r="FU3" s="1">
        <f t="shared" si="14"/>
        <v>0</v>
      </c>
      <c r="FV3" s="1">
        <f t="shared" si="14"/>
        <v>0</v>
      </c>
      <c r="FW3" s="1">
        <f t="shared" si="14"/>
        <v>0</v>
      </c>
      <c r="FX3" s="1">
        <f t="shared" si="14"/>
        <v>0</v>
      </c>
      <c r="FY3" s="1">
        <f t="shared" si="14"/>
        <v>0</v>
      </c>
      <c r="FZ3" s="1">
        <f t="shared" si="14"/>
        <v>0</v>
      </c>
      <c r="GA3" s="1">
        <f t="shared" si="14"/>
        <v>0</v>
      </c>
      <c r="GB3" s="1">
        <f t="shared" si="14"/>
        <v>0</v>
      </c>
      <c r="GC3" s="1">
        <f t="shared" si="14"/>
        <v>0</v>
      </c>
      <c r="GD3" s="1">
        <f t="shared" si="14"/>
        <v>0</v>
      </c>
      <c r="GE3" s="1">
        <f t="shared" si="14"/>
        <v>0</v>
      </c>
      <c r="GF3" s="1">
        <f t="shared" si="14"/>
        <v>0</v>
      </c>
      <c r="GG3" s="1">
        <f t="shared" si="14"/>
        <v>0</v>
      </c>
      <c r="GH3" s="1">
        <f t="shared" si="14"/>
        <v>0</v>
      </c>
      <c r="GI3" s="1">
        <f t="shared" si="14"/>
        <v>0</v>
      </c>
      <c r="GJ3" s="1">
        <f t="shared" si="14"/>
        <v>0</v>
      </c>
      <c r="GK3" s="1">
        <f t="shared" si="14"/>
        <v>0</v>
      </c>
      <c r="GL3" s="1">
        <f t="shared" si="14"/>
        <v>0</v>
      </c>
      <c r="GM3" s="1">
        <f t="shared" si="14"/>
        <v>0</v>
      </c>
      <c r="GN3" s="1">
        <f t="shared" ref="GN3:IY3" si="15">COUNTA(GN6:GN1048576)</f>
        <v>0</v>
      </c>
      <c r="GO3" s="1">
        <f t="shared" si="15"/>
        <v>0</v>
      </c>
      <c r="GP3" s="1">
        <f t="shared" si="15"/>
        <v>0</v>
      </c>
      <c r="GQ3" s="1">
        <f t="shared" si="15"/>
        <v>0</v>
      </c>
      <c r="GR3" s="1">
        <f t="shared" si="15"/>
        <v>0</v>
      </c>
      <c r="GS3" s="1">
        <f t="shared" si="15"/>
        <v>0</v>
      </c>
      <c r="GT3" s="1">
        <f t="shared" si="15"/>
        <v>0</v>
      </c>
      <c r="GU3" s="1">
        <f t="shared" si="15"/>
        <v>0</v>
      </c>
      <c r="GV3" s="1">
        <f t="shared" si="15"/>
        <v>0</v>
      </c>
      <c r="GW3" s="1">
        <f t="shared" si="15"/>
        <v>0</v>
      </c>
      <c r="GX3" s="1">
        <f t="shared" si="15"/>
        <v>0</v>
      </c>
      <c r="GY3" s="1">
        <f t="shared" si="15"/>
        <v>0</v>
      </c>
      <c r="GZ3" s="1">
        <f t="shared" si="15"/>
        <v>0</v>
      </c>
      <c r="HA3" s="1">
        <f t="shared" si="15"/>
        <v>0</v>
      </c>
      <c r="HB3" s="1">
        <f t="shared" si="15"/>
        <v>0</v>
      </c>
      <c r="HC3" s="1">
        <f t="shared" si="15"/>
        <v>0</v>
      </c>
      <c r="HD3" s="1">
        <f t="shared" si="15"/>
        <v>0</v>
      </c>
      <c r="HE3" s="1">
        <f t="shared" si="15"/>
        <v>0</v>
      </c>
      <c r="HF3" s="1">
        <f t="shared" si="15"/>
        <v>0</v>
      </c>
      <c r="HG3" s="1">
        <f t="shared" si="15"/>
        <v>0</v>
      </c>
      <c r="HH3" s="1">
        <f t="shared" si="15"/>
        <v>0</v>
      </c>
      <c r="HI3" s="1">
        <f t="shared" si="15"/>
        <v>0</v>
      </c>
      <c r="HJ3" s="1">
        <f t="shared" si="15"/>
        <v>0</v>
      </c>
      <c r="HK3" s="1">
        <f t="shared" si="15"/>
        <v>0</v>
      </c>
      <c r="HL3" s="1">
        <f t="shared" si="15"/>
        <v>0</v>
      </c>
      <c r="HM3" s="1">
        <f t="shared" si="15"/>
        <v>0</v>
      </c>
      <c r="HN3" s="1">
        <f t="shared" si="15"/>
        <v>0</v>
      </c>
      <c r="HO3" s="1">
        <f t="shared" si="15"/>
        <v>0</v>
      </c>
      <c r="HP3" s="1">
        <f t="shared" si="15"/>
        <v>0</v>
      </c>
      <c r="HQ3" s="1">
        <f t="shared" si="15"/>
        <v>0</v>
      </c>
      <c r="HR3" s="1">
        <f t="shared" si="15"/>
        <v>0</v>
      </c>
      <c r="HS3" s="1">
        <f t="shared" si="15"/>
        <v>0</v>
      </c>
      <c r="HT3" s="1">
        <f t="shared" si="15"/>
        <v>0</v>
      </c>
      <c r="HU3" s="1">
        <f t="shared" si="15"/>
        <v>0</v>
      </c>
      <c r="HV3" s="1">
        <f t="shared" si="15"/>
        <v>0</v>
      </c>
      <c r="HW3" s="1">
        <f t="shared" si="15"/>
        <v>0</v>
      </c>
      <c r="HX3" s="1">
        <f t="shared" si="15"/>
        <v>0</v>
      </c>
      <c r="HY3" s="1">
        <f t="shared" si="15"/>
        <v>0</v>
      </c>
      <c r="HZ3" s="1">
        <f t="shared" si="15"/>
        <v>0</v>
      </c>
      <c r="IA3" s="1">
        <f t="shared" si="15"/>
        <v>0</v>
      </c>
      <c r="IB3" s="1">
        <f t="shared" si="15"/>
        <v>0</v>
      </c>
      <c r="IC3" s="1">
        <f t="shared" si="15"/>
        <v>0</v>
      </c>
      <c r="ID3" s="1">
        <f t="shared" si="15"/>
        <v>0</v>
      </c>
      <c r="IE3" s="1">
        <f t="shared" si="15"/>
        <v>0</v>
      </c>
      <c r="IF3" s="1">
        <f t="shared" si="15"/>
        <v>0</v>
      </c>
      <c r="IG3" s="1">
        <f t="shared" si="15"/>
        <v>0</v>
      </c>
      <c r="IH3" s="1">
        <f t="shared" si="15"/>
        <v>0</v>
      </c>
      <c r="II3" s="1">
        <f t="shared" si="15"/>
        <v>0</v>
      </c>
      <c r="IJ3" s="1">
        <f t="shared" si="15"/>
        <v>0</v>
      </c>
      <c r="IK3" s="1">
        <f t="shared" si="15"/>
        <v>0</v>
      </c>
      <c r="IL3" s="1">
        <f t="shared" si="15"/>
        <v>0</v>
      </c>
      <c r="IM3" s="1">
        <f t="shared" si="15"/>
        <v>0</v>
      </c>
      <c r="IN3" s="1">
        <f t="shared" si="15"/>
        <v>0</v>
      </c>
      <c r="IO3" s="1">
        <f t="shared" si="15"/>
        <v>0</v>
      </c>
      <c r="IP3" s="1">
        <f t="shared" si="15"/>
        <v>0</v>
      </c>
      <c r="IQ3" s="1">
        <f t="shared" si="15"/>
        <v>0</v>
      </c>
      <c r="IR3" s="1">
        <f t="shared" si="15"/>
        <v>0</v>
      </c>
      <c r="IS3" s="1">
        <f t="shared" si="15"/>
        <v>0</v>
      </c>
      <c r="IT3" s="1">
        <f t="shared" si="15"/>
        <v>0</v>
      </c>
      <c r="IU3" s="1">
        <f t="shared" si="15"/>
        <v>0</v>
      </c>
      <c r="IV3" s="1">
        <f t="shared" si="15"/>
        <v>0</v>
      </c>
      <c r="IW3" s="1">
        <f t="shared" si="15"/>
        <v>0</v>
      </c>
      <c r="IX3" s="1">
        <f t="shared" si="15"/>
        <v>0</v>
      </c>
      <c r="IY3" s="1">
        <f t="shared" si="15"/>
        <v>0</v>
      </c>
      <c r="IZ3" s="1">
        <f t="shared" ref="IZ3:LK3" si="16">COUNTA(IZ6:IZ1048576)</f>
        <v>0</v>
      </c>
      <c r="JA3" s="1">
        <f t="shared" si="16"/>
        <v>0</v>
      </c>
      <c r="JB3" s="1">
        <f t="shared" si="16"/>
        <v>0</v>
      </c>
      <c r="JC3" s="1">
        <f t="shared" si="16"/>
        <v>0</v>
      </c>
      <c r="JD3" s="1">
        <f t="shared" si="16"/>
        <v>0</v>
      </c>
      <c r="JE3" s="1">
        <f t="shared" si="16"/>
        <v>0</v>
      </c>
      <c r="JF3" s="1">
        <f t="shared" si="16"/>
        <v>0</v>
      </c>
      <c r="JG3" s="1">
        <f t="shared" si="16"/>
        <v>0</v>
      </c>
      <c r="JH3" s="1">
        <f t="shared" si="16"/>
        <v>0</v>
      </c>
      <c r="JI3" s="1">
        <f t="shared" si="16"/>
        <v>0</v>
      </c>
      <c r="JJ3" s="1">
        <f t="shared" si="16"/>
        <v>0</v>
      </c>
      <c r="JK3" s="1">
        <f t="shared" si="16"/>
        <v>0</v>
      </c>
      <c r="JL3" s="1">
        <f t="shared" si="16"/>
        <v>0</v>
      </c>
      <c r="JM3" s="1">
        <f t="shared" si="16"/>
        <v>0</v>
      </c>
      <c r="JN3" s="1">
        <f t="shared" si="16"/>
        <v>0</v>
      </c>
      <c r="JO3" s="1">
        <f t="shared" si="16"/>
        <v>0</v>
      </c>
      <c r="JP3" s="1">
        <f t="shared" si="16"/>
        <v>0</v>
      </c>
      <c r="JQ3" s="1">
        <f t="shared" si="16"/>
        <v>0</v>
      </c>
      <c r="JR3" s="1">
        <f t="shared" si="16"/>
        <v>0</v>
      </c>
      <c r="JS3" s="1">
        <f t="shared" si="16"/>
        <v>0</v>
      </c>
      <c r="JT3" s="1">
        <f t="shared" si="16"/>
        <v>0</v>
      </c>
      <c r="JU3" s="1">
        <f t="shared" si="16"/>
        <v>0</v>
      </c>
      <c r="JV3" s="1">
        <f t="shared" si="16"/>
        <v>0</v>
      </c>
      <c r="JW3" s="1">
        <f t="shared" si="16"/>
        <v>0</v>
      </c>
      <c r="JX3" s="1">
        <f t="shared" si="16"/>
        <v>0</v>
      </c>
      <c r="JY3" s="1">
        <f t="shared" si="16"/>
        <v>0</v>
      </c>
      <c r="JZ3" s="1">
        <f t="shared" si="16"/>
        <v>0</v>
      </c>
      <c r="KA3" s="1">
        <f t="shared" si="16"/>
        <v>0</v>
      </c>
      <c r="KB3" s="1">
        <f t="shared" si="16"/>
        <v>0</v>
      </c>
      <c r="KC3" s="1">
        <f t="shared" si="16"/>
        <v>0</v>
      </c>
      <c r="KD3" s="1">
        <f t="shared" si="16"/>
        <v>0</v>
      </c>
      <c r="KE3" s="1">
        <f t="shared" si="16"/>
        <v>0</v>
      </c>
      <c r="KF3" s="1">
        <f t="shared" si="16"/>
        <v>0</v>
      </c>
      <c r="KG3" s="1">
        <f t="shared" si="16"/>
        <v>0</v>
      </c>
      <c r="KH3" s="1">
        <f t="shared" si="16"/>
        <v>0</v>
      </c>
      <c r="KI3" s="1">
        <f t="shared" si="16"/>
        <v>0</v>
      </c>
      <c r="KJ3" s="1">
        <f t="shared" si="16"/>
        <v>0</v>
      </c>
      <c r="KK3" s="1">
        <f t="shared" si="16"/>
        <v>0</v>
      </c>
      <c r="KL3" s="1">
        <f t="shared" si="16"/>
        <v>0</v>
      </c>
      <c r="KM3" s="1">
        <f t="shared" si="16"/>
        <v>0</v>
      </c>
      <c r="KN3" s="1">
        <f t="shared" si="16"/>
        <v>0</v>
      </c>
      <c r="KO3" s="1">
        <f t="shared" si="16"/>
        <v>0</v>
      </c>
      <c r="KP3" s="1">
        <f t="shared" si="16"/>
        <v>0</v>
      </c>
      <c r="KQ3" s="1">
        <f t="shared" si="16"/>
        <v>0</v>
      </c>
      <c r="KR3" s="1">
        <f t="shared" si="16"/>
        <v>0</v>
      </c>
      <c r="KS3" s="1">
        <f t="shared" si="16"/>
        <v>0</v>
      </c>
      <c r="KT3" s="1">
        <f t="shared" si="16"/>
        <v>0</v>
      </c>
      <c r="KU3" s="1">
        <f t="shared" si="16"/>
        <v>0</v>
      </c>
      <c r="KV3" s="1">
        <f t="shared" si="16"/>
        <v>0</v>
      </c>
      <c r="KW3" s="1">
        <f t="shared" si="16"/>
        <v>0</v>
      </c>
      <c r="KX3" s="1">
        <f t="shared" si="16"/>
        <v>0</v>
      </c>
      <c r="KY3" s="1">
        <f t="shared" si="16"/>
        <v>0</v>
      </c>
      <c r="KZ3" s="1">
        <f t="shared" si="16"/>
        <v>0</v>
      </c>
      <c r="LA3" s="1">
        <f t="shared" si="16"/>
        <v>0</v>
      </c>
      <c r="LB3" s="1">
        <f t="shared" si="16"/>
        <v>0</v>
      </c>
      <c r="LC3" s="1">
        <f t="shared" si="16"/>
        <v>0</v>
      </c>
      <c r="LD3" s="1">
        <f t="shared" si="16"/>
        <v>0</v>
      </c>
      <c r="LE3" s="1">
        <f t="shared" si="16"/>
        <v>0</v>
      </c>
      <c r="LF3" s="1">
        <f t="shared" si="16"/>
        <v>0</v>
      </c>
      <c r="LG3" s="1">
        <f t="shared" si="16"/>
        <v>0</v>
      </c>
      <c r="LH3" s="1">
        <f t="shared" si="16"/>
        <v>0</v>
      </c>
      <c r="LI3" s="1">
        <f t="shared" si="16"/>
        <v>0</v>
      </c>
      <c r="LJ3" s="1">
        <f t="shared" si="16"/>
        <v>0</v>
      </c>
      <c r="LK3" s="1">
        <f t="shared" si="16"/>
        <v>0</v>
      </c>
      <c r="LL3" s="1">
        <f t="shared" ref="LL3:NC3" si="17">COUNTA(LL6:LL1048576)</f>
        <v>0</v>
      </c>
      <c r="LM3" s="1">
        <f t="shared" si="17"/>
        <v>0</v>
      </c>
      <c r="LN3" s="1">
        <f t="shared" si="17"/>
        <v>0</v>
      </c>
      <c r="LO3" s="1">
        <f t="shared" si="17"/>
        <v>0</v>
      </c>
      <c r="LP3" s="1">
        <f t="shared" si="17"/>
        <v>0</v>
      </c>
      <c r="LQ3" s="1">
        <f t="shared" si="17"/>
        <v>0</v>
      </c>
      <c r="LR3" s="1">
        <f t="shared" si="17"/>
        <v>0</v>
      </c>
      <c r="LS3" s="1">
        <f t="shared" si="17"/>
        <v>0</v>
      </c>
      <c r="LT3" s="1">
        <f t="shared" si="17"/>
        <v>0</v>
      </c>
      <c r="LU3" s="1">
        <f t="shared" si="17"/>
        <v>0</v>
      </c>
      <c r="LV3" s="1">
        <f t="shared" si="17"/>
        <v>0</v>
      </c>
      <c r="LW3" s="1">
        <f t="shared" si="17"/>
        <v>0</v>
      </c>
      <c r="LX3" s="1">
        <f t="shared" si="17"/>
        <v>0</v>
      </c>
      <c r="LY3" s="1">
        <f t="shared" si="17"/>
        <v>0</v>
      </c>
      <c r="LZ3" s="1">
        <f t="shared" si="17"/>
        <v>0</v>
      </c>
      <c r="MA3" s="1">
        <f t="shared" si="17"/>
        <v>0</v>
      </c>
      <c r="MB3" s="1">
        <f t="shared" si="17"/>
        <v>0</v>
      </c>
      <c r="MC3" s="1">
        <f t="shared" si="17"/>
        <v>0</v>
      </c>
      <c r="MD3" s="1">
        <f t="shared" si="17"/>
        <v>0</v>
      </c>
      <c r="ME3" s="1">
        <f t="shared" si="17"/>
        <v>0</v>
      </c>
      <c r="MF3" s="1">
        <f t="shared" si="17"/>
        <v>0</v>
      </c>
      <c r="MG3" s="1">
        <f t="shared" si="17"/>
        <v>0</v>
      </c>
      <c r="MH3" s="1">
        <f t="shared" si="17"/>
        <v>0</v>
      </c>
      <c r="MI3" s="1">
        <f t="shared" si="17"/>
        <v>0</v>
      </c>
      <c r="MJ3" s="1">
        <f t="shared" si="17"/>
        <v>0</v>
      </c>
      <c r="MK3" s="1">
        <f t="shared" si="17"/>
        <v>0</v>
      </c>
      <c r="ML3" s="1">
        <f t="shared" si="17"/>
        <v>0</v>
      </c>
      <c r="MM3" s="1">
        <f t="shared" si="17"/>
        <v>0</v>
      </c>
      <c r="MN3" s="1">
        <f t="shared" si="17"/>
        <v>0</v>
      </c>
      <c r="MO3" s="1">
        <f t="shared" si="17"/>
        <v>0</v>
      </c>
      <c r="MP3" s="1">
        <f t="shared" si="17"/>
        <v>0</v>
      </c>
      <c r="MQ3" s="1">
        <f t="shared" si="17"/>
        <v>0</v>
      </c>
      <c r="MR3" s="1">
        <f t="shared" si="17"/>
        <v>0</v>
      </c>
      <c r="MS3" s="1">
        <f t="shared" si="17"/>
        <v>0</v>
      </c>
      <c r="MT3" s="1">
        <f t="shared" si="17"/>
        <v>0</v>
      </c>
      <c r="MU3" s="1">
        <f t="shared" si="17"/>
        <v>0</v>
      </c>
      <c r="MV3" s="1">
        <f t="shared" si="17"/>
        <v>0</v>
      </c>
      <c r="MW3" s="1">
        <f t="shared" si="17"/>
        <v>0</v>
      </c>
      <c r="MX3" s="1">
        <f t="shared" si="17"/>
        <v>0</v>
      </c>
      <c r="MY3" s="1">
        <f t="shared" si="17"/>
        <v>0</v>
      </c>
      <c r="MZ3" s="1">
        <f t="shared" si="17"/>
        <v>0</v>
      </c>
      <c r="NA3" s="1">
        <f t="shared" si="17"/>
        <v>0</v>
      </c>
      <c r="NB3" s="1">
        <f t="shared" si="17"/>
        <v>0</v>
      </c>
      <c r="NC3" s="1">
        <f t="shared" si="17"/>
        <v>0</v>
      </c>
    </row>
    <row r="4" spans="1:421" s="5" customFormat="1" ht="67.5" customHeight="1" x14ac:dyDescent="0.3">
      <c r="A4" s="2" t="s">
        <v>206</v>
      </c>
      <c r="B4" s="2" t="s">
        <v>1</v>
      </c>
      <c r="C4" s="13" t="s">
        <v>2</v>
      </c>
      <c r="D4" s="7">
        <v>45658</v>
      </c>
      <c r="E4" s="7">
        <v>45659</v>
      </c>
      <c r="F4" s="7">
        <v>45660</v>
      </c>
      <c r="G4" s="7">
        <v>45661</v>
      </c>
      <c r="H4" s="7">
        <v>45662</v>
      </c>
      <c r="I4" s="7">
        <v>45663</v>
      </c>
      <c r="J4" s="7">
        <v>45664</v>
      </c>
      <c r="K4" s="7">
        <v>45665</v>
      </c>
      <c r="L4" s="7">
        <v>45666</v>
      </c>
      <c r="M4" s="7">
        <v>45667</v>
      </c>
      <c r="N4" s="7">
        <v>45668</v>
      </c>
      <c r="O4" s="7">
        <v>45669</v>
      </c>
      <c r="P4" s="7">
        <v>45670</v>
      </c>
      <c r="Q4" s="7">
        <v>45671</v>
      </c>
      <c r="R4" s="7">
        <v>45672</v>
      </c>
      <c r="S4" s="7">
        <v>45673</v>
      </c>
      <c r="T4" s="7">
        <v>45674</v>
      </c>
      <c r="U4" s="7">
        <v>45675</v>
      </c>
      <c r="V4" s="7">
        <v>45676</v>
      </c>
      <c r="W4" s="7">
        <v>45677</v>
      </c>
      <c r="X4" s="7">
        <v>45678</v>
      </c>
      <c r="Y4" s="7">
        <v>45679</v>
      </c>
      <c r="Z4" s="7">
        <v>45680</v>
      </c>
      <c r="AA4" s="7">
        <v>45681</v>
      </c>
      <c r="AB4" s="7">
        <v>45682</v>
      </c>
      <c r="AC4" s="7">
        <v>45683</v>
      </c>
      <c r="AD4" s="7">
        <v>45684</v>
      </c>
      <c r="AE4" s="7">
        <v>45685</v>
      </c>
      <c r="AF4" s="7">
        <v>45686</v>
      </c>
      <c r="AG4" s="7">
        <v>45687</v>
      </c>
      <c r="AH4" s="7">
        <v>45688</v>
      </c>
      <c r="AI4" s="7">
        <v>45689</v>
      </c>
      <c r="AJ4" s="7">
        <v>45690</v>
      </c>
      <c r="AK4" s="7">
        <v>45691</v>
      </c>
      <c r="AL4" s="7">
        <v>45692</v>
      </c>
      <c r="AM4" s="7">
        <v>45693</v>
      </c>
      <c r="AN4" s="7">
        <v>45694</v>
      </c>
      <c r="AO4" s="7">
        <v>45695</v>
      </c>
      <c r="AP4" s="7">
        <v>45696</v>
      </c>
      <c r="AQ4" s="7">
        <v>45697</v>
      </c>
      <c r="AR4" s="7">
        <v>45698</v>
      </c>
      <c r="AS4" s="7">
        <v>45699</v>
      </c>
      <c r="AT4" s="7">
        <v>45700</v>
      </c>
      <c r="AU4" s="7">
        <v>45701</v>
      </c>
      <c r="AV4" s="7">
        <v>45702</v>
      </c>
      <c r="AW4" s="7">
        <v>45703</v>
      </c>
      <c r="AX4" s="7">
        <v>45704</v>
      </c>
      <c r="AY4" s="7">
        <v>45705</v>
      </c>
      <c r="AZ4" s="7">
        <v>45706</v>
      </c>
      <c r="BA4" s="7">
        <v>45707</v>
      </c>
      <c r="BB4" s="7">
        <v>45708</v>
      </c>
      <c r="BC4" s="7">
        <v>45709</v>
      </c>
      <c r="BD4" s="7">
        <v>45710</v>
      </c>
      <c r="BE4" s="7">
        <v>45711</v>
      </c>
      <c r="BF4" s="7">
        <v>45712</v>
      </c>
      <c r="BG4" s="7">
        <v>45713</v>
      </c>
      <c r="BH4" s="7">
        <v>45714</v>
      </c>
      <c r="BI4" s="7">
        <v>45715</v>
      </c>
      <c r="BJ4" s="7">
        <v>45716</v>
      </c>
      <c r="BK4" s="7">
        <v>45717</v>
      </c>
      <c r="BL4" s="7">
        <v>45718</v>
      </c>
      <c r="BM4" s="7">
        <v>45719</v>
      </c>
      <c r="BN4" s="7">
        <v>45720</v>
      </c>
      <c r="BO4" s="7">
        <v>45721</v>
      </c>
      <c r="BP4" s="7">
        <v>45722</v>
      </c>
      <c r="BQ4" s="7">
        <v>45723</v>
      </c>
      <c r="BR4" s="7">
        <v>45724</v>
      </c>
      <c r="BS4" s="7">
        <v>45725</v>
      </c>
      <c r="BT4" s="7">
        <v>45726</v>
      </c>
      <c r="BU4" s="7">
        <v>45727</v>
      </c>
      <c r="BV4" s="7">
        <v>45728</v>
      </c>
      <c r="BW4" s="7">
        <v>45729</v>
      </c>
      <c r="BX4" s="7">
        <v>45730</v>
      </c>
      <c r="BY4" s="7">
        <v>45731</v>
      </c>
      <c r="BZ4" s="7">
        <v>45732</v>
      </c>
      <c r="CA4" s="7">
        <v>45733</v>
      </c>
      <c r="CB4" s="7">
        <v>45734</v>
      </c>
      <c r="CC4" s="7">
        <v>45735</v>
      </c>
      <c r="CD4" s="7">
        <v>45736</v>
      </c>
      <c r="CE4" s="7">
        <v>45737</v>
      </c>
      <c r="CF4" s="7">
        <v>45738</v>
      </c>
      <c r="CG4" s="7">
        <v>45739</v>
      </c>
      <c r="CH4" s="7">
        <v>45740</v>
      </c>
      <c r="CI4" s="7">
        <v>45741</v>
      </c>
      <c r="CJ4" s="7">
        <v>45742</v>
      </c>
      <c r="CK4" s="7">
        <v>45743</v>
      </c>
      <c r="CL4" s="7">
        <v>45744</v>
      </c>
      <c r="CM4" s="7">
        <v>45745</v>
      </c>
      <c r="CN4" s="7">
        <v>45746</v>
      </c>
      <c r="CO4" s="7">
        <v>45747</v>
      </c>
      <c r="CP4" s="7">
        <v>45748</v>
      </c>
      <c r="CQ4" s="7">
        <v>45749</v>
      </c>
      <c r="CR4" s="7">
        <v>45750</v>
      </c>
      <c r="CS4" s="7">
        <v>45751</v>
      </c>
      <c r="CT4" s="7">
        <v>45752</v>
      </c>
      <c r="CU4" s="7">
        <v>45753</v>
      </c>
      <c r="CV4" s="7">
        <v>45754</v>
      </c>
      <c r="CW4" s="7">
        <v>45755</v>
      </c>
      <c r="CX4" s="7">
        <v>45756</v>
      </c>
      <c r="CY4" s="7">
        <v>45757</v>
      </c>
      <c r="CZ4" s="7">
        <v>45758</v>
      </c>
      <c r="DA4" s="7">
        <v>45759</v>
      </c>
      <c r="DB4" s="7">
        <v>45760</v>
      </c>
      <c r="DC4" s="7">
        <v>45761</v>
      </c>
      <c r="DD4" s="7">
        <v>45762</v>
      </c>
      <c r="DE4" s="7">
        <v>45763</v>
      </c>
      <c r="DF4" s="7">
        <v>45764</v>
      </c>
      <c r="DG4" s="7">
        <v>45765</v>
      </c>
      <c r="DH4" s="7">
        <v>45766</v>
      </c>
      <c r="DI4" s="7">
        <v>45767</v>
      </c>
      <c r="DJ4" s="7">
        <v>45768</v>
      </c>
      <c r="DK4" s="7">
        <v>45769</v>
      </c>
      <c r="DL4" s="7">
        <v>45770</v>
      </c>
      <c r="DM4" s="7">
        <v>45771</v>
      </c>
      <c r="DN4" s="7">
        <v>45772</v>
      </c>
      <c r="DO4" s="7">
        <v>45773</v>
      </c>
      <c r="DP4" s="7">
        <v>45774</v>
      </c>
      <c r="DQ4" s="7">
        <v>45775</v>
      </c>
      <c r="DR4" s="7">
        <v>45776</v>
      </c>
      <c r="DS4" s="7">
        <v>45777</v>
      </c>
      <c r="DT4" s="7">
        <v>45778</v>
      </c>
      <c r="DU4" s="7">
        <v>45779</v>
      </c>
      <c r="DV4" s="7">
        <v>45780</v>
      </c>
      <c r="DW4" s="7">
        <v>45781</v>
      </c>
      <c r="DX4" s="7">
        <v>45782</v>
      </c>
      <c r="DY4" s="7">
        <v>45783</v>
      </c>
      <c r="DZ4" s="7">
        <v>45784</v>
      </c>
      <c r="EA4" s="7">
        <v>45785</v>
      </c>
      <c r="EB4" s="7">
        <v>45786</v>
      </c>
      <c r="EC4" s="7">
        <v>45787</v>
      </c>
      <c r="ED4" s="7">
        <v>45788</v>
      </c>
      <c r="EE4" s="7">
        <v>45789</v>
      </c>
      <c r="EF4" s="7">
        <v>45790</v>
      </c>
      <c r="EG4" s="7">
        <v>45791</v>
      </c>
      <c r="EH4" s="7">
        <v>45792</v>
      </c>
      <c r="EI4" s="7">
        <v>45793</v>
      </c>
      <c r="EJ4" s="7">
        <v>45794</v>
      </c>
      <c r="EK4" s="7">
        <v>45795</v>
      </c>
      <c r="EL4" s="7">
        <v>45796</v>
      </c>
      <c r="EM4" s="7">
        <v>45797</v>
      </c>
      <c r="EN4" s="7">
        <v>45798</v>
      </c>
      <c r="EO4" s="7">
        <v>45799</v>
      </c>
      <c r="EP4" s="7">
        <v>45800</v>
      </c>
      <c r="EQ4" s="7">
        <v>45801</v>
      </c>
      <c r="ER4" s="7">
        <v>45802</v>
      </c>
      <c r="ES4" s="7">
        <v>45803</v>
      </c>
      <c r="ET4" s="7">
        <v>45804</v>
      </c>
      <c r="EU4" s="7">
        <v>45805</v>
      </c>
      <c r="EV4" s="7">
        <v>45806</v>
      </c>
      <c r="EW4" s="7">
        <v>45807</v>
      </c>
      <c r="EX4" s="7">
        <v>45808</v>
      </c>
      <c r="EY4" s="7">
        <v>45809</v>
      </c>
      <c r="EZ4" s="7">
        <v>45810</v>
      </c>
      <c r="FA4" s="7">
        <v>45811</v>
      </c>
      <c r="FB4" s="7">
        <v>45812</v>
      </c>
      <c r="FC4" s="7">
        <v>45813</v>
      </c>
      <c r="FD4" s="7">
        <v>45814</v>
      </c>
      <c r="FE4" s="7">
        <v>45815</v>
      </c>
      <c r="FF4" s="7">
        <v>45816</v>
      </c>
      <c r="FG4" s="7">
        <v>45817</v>
      </c>
      <c r="FH4" s="7">
        <v>45818</v>
      </c>
      <c r="FI4" s="7">
        <v>45819</v>
      </c>
      <c r="FJ4" s="7">
        <v>45820</v>
      </c>
      <c r="FK4" s="7">
        <v>45821</v>
      </c>
      <c r="FL4" s="7">
        <v>45822</v>
      </c>
      <c r="FM4" s="7">
        <v>45823</v>
      </c>
      <c r="FN4" s="7">
        <v>45824</v>
      </c>
      <c r="FO4" s="7">
        <v>45825</v>
      </c>
      <c r="FP4" s="7">
        <v>45826</v>
      </c>
      <c r="FQ4" s="7">
        <v>45827</v>
      </c>
      <c r="FR4" s="7">
        <v>45828</v>
      </c>
      <c r="FS4" s="7">
        <v>45829</v>
      </c>
      <c r="FT4" s="7">
        <v>45830</v>
      </c>
      <c r="FU4" s="7">
        <v>45831</v>
      </c>
      <c r="FV4" s="7">
        <v>45832</v>
      </c>
      <c r="FW4" s="7">
        <v>45833</v>
      </c>
      <c r="FX4" s="7">
        <v>45834</v>
      </c>
      <c r="FY4" s="7">
        <v>45835</v>
      </c>
      <c r="FZ4" s="7">
        <v>45836</v>
      </c>
      <c r="GA4" s="7">
        <v>45837</v>
      </c>
      <c r="GB4" s="7">
        <v>45838</v>
      </c>
      <c r="GC4" s="7">
        <v>45839</v>
      </c>
      <c r="GD4" s="7">
        <v>45840</v>
      </c>
      <c r="GE4" s="7">
        <v>45841</v>
      </c>
      <c r="GF4" s="7">
        <v>45842</v>
      </c>
      <c r="GG4" s="7">
        <v>45843</v>
      </c>
      <c r="GH4" s="7">
        <v>45844</v>
      </c>
      <c r="GI4" s="7">
        <v>45845</v>
      </c>
      <c r="GJ4" s="7">
        <v>45846</v>
      </c>
      <c r="GK4" s="7">
        <v>45847</v>
      </c>
      <c r="GL4" s="7">
        <v>45848</v>
      </c>
      <c r="GM4" s="7">
        <v>45849</v>
      </c>
      <c r="GN4" s="7">
        <v>45850</v>
      </c>
      <c r="GO4" s="7">
        <v>45851</v>
      </c>
      <c r="GP4" s="7">
        <v>45852</v>
      </c>
      <c r="GQ4" s="7">
        <v>45853</v>
      </c>
      <c r="GR4" s="7">
        <v>45854</v>
      </c>
      <c r="GS4" s="7">
        <v>45855</v>
      </c>
      <c r="GT4" s="7">
        <v>45856</v>
      </c>
      <c r="GU4" s="7">
        <v>45857</v>
      </c>
      <c r="GV4" s="7">
        <v>45858</v>
      </c>
      <c r="GW4" s="7">
        <v>45859</v>
      </c>
      <c r="GX4" s="7">
        <v>45860</v>
      </c>
      <c r="GY4" s="7">
        <v>45861</v>
      </c>
      <c r="GZ4" s="7">
        <v>45862</v>
      </c>
      <c r="HA4" s="7">
        <v>45863</v>
      </c>
      <c r="HB4" s="7">
        <v>45864</v>
      </c>
      <c r="HC4" s="7">
        <v>45865</v>
      </c>
      <c r="HD4" s="7">
        <v>45866</v>
      </c>
      <c r="HE4" s="7">
        <v>45867</v>
      </c>
      <c r="HF4" s="7">
        <v>45868</v>
      </c>
      <c r="HG4" s="7">
        <v>45869</v>
      </c>
      <c r="HH4" s="7">
        <v>45870</v>
      </c>
      <c r="HI4" s="7">
        <v>45871</v>
      </c>
      <c r="HJ4" s="7">
        <v>45872</v>
      </c>
      <c r="HK4" s="7">
        <v>45873</v>
      </c>
      <c r="HL4" s="7">
        <v>45874</v>
      </c>
      <c r="HM4" s="7">
        <v>45875</v>
      </c>
      <c r="HN4" s="7">
        <v>45876</v>
      </c>
      <c r="HO4" s="7">
        <v>45877</v>
      </c>
      <c r="HP4" s="7">
        <v>45878</v>
      </c>
      <c r="HQ4" s="7">
        <v>45879</v>
      </c>
      <c r="HR4" s="7">
        <v>45880</v>
      </c>
      <c r="HS4" s="7">
        <v>45881</v>
      </c>
      <c r="HT4" s="7">
        <v>45882</v>
      </c>
      <c r="HU4" s="7">
        <v>45883</v>
      </c>
      <c r="HV4" s="7">
        <v>45884</v>
      </c>
      <c r="HW4" s="7">
        <v>45885</v>
      </c>
      <c r="HX4" s="7">
        <v>45886</v>
      </c>
      <c r="HY4" s="7">
        <v>45887</v>
      </c>
      <c r="HZ4" s="7">
        <v>45888</v>
      </c>
      <c r="IA4" s="7">
        <v>45889</v>
      </c>
      <c r="IB4" s="7">
        <v>45890</v>
      </c>
      <c r="IC4" s="7">
        <v>45891</v>
      </c>
      <c r="ID4" s="7">
        <v>45892</v>
      </c>
      <c r="IE4" s="7">
        <v>45893</v>
      </c>
      <c r="IF4" s="7">
        <v>45894</v>
      </c>
      <c r="IG4" s="7">
        <v>45895</v>
      </c>
      <c r="IH4" s="7">
        <v>45896</v>
      </c>
      <c r="II4" s="7">
        <v>45897</v>
      </c>
      <c r="IJ4" s="7">
        <v>45898</v>
      </c>
      <c r="IK4" s="7">
        <v>45899</v>
      </c>
      <c r="IL4" s="7">
        <v>45900</v>
      </c>
      <c r="IM4" s="7">
        <v>45901</v>
      </c>
      <c r="IN4" s="7">
        <v>45902</v>
      </c>
      <c r="IO4" s="7">
        <v>45903</v>
      </c>
      <c r="IP4" s="7">
        <v>45904</v>
      </c>
      <c r="IQ4" s="7">
        <v>45905</v>
      </c>
      <c r="IR4" s="7">
        <v>45906</v>
      </c>
      <c r="IS4" s="7">
        <v>45907</v>
      </c>
      <c r="IT4" s="7">
        <v>45908</v>
      </c>
      <c r="IU4" s="7">
        <v>45909</v>
      </c>
      <c r="IV4" s="7">
        <v>45910</v>
      </c>
      <c r="IW4" s="7">
        <v>45911</v>
      </c>
      <c r="IX4" s="7">
        <v>45912</v>
      </c>
      <c r="IY4" s="7">
        <v>45913</v>
      </c>
      <c r="IZ4" s="7">
        <v>45914</v>
      </c>
      <c r="JA4" s="7">
        <v>45915</v>
      </c>
      <c r="JB4" s="7">
        <v>45916</v>
      </c>
      <c r="JC4" s="7">
        <v>45917</v>
      </c>
      <c r="JD4" s="7">
        <v>45918</v>
      </c>
      <c r="JE4" s="7">
        <v>45919</v>
      </c>
      <c r="JF4" s="7">
        <v>45920</v>
      </c>
      <c r="JG4" s="7">
        <v>45921</v>
      </c>
      <c r="JH4" s="7">
        <v>45922</v>
      </c>
      <c r="JI4" s="7">
        <v>45923</v>
      </c>
      <c r="JJ4" s="7">
        <v>45924</v>
      </c>
      <c r="JK4" s="7">
        <v>45925</v>
      </c>
      <c r="JL4" s="7">
        <v>45926</v>
      </c>
      <c r="JM4" s="7">
        <v>45927</v>
      </c>
      <c r="JN4" s="7">
        <v>45928</v>
      </c>
      <c r="JO4" s="7">
        <v>45929</v>
      </c>
      <c r="JP4" s="7">
        <v>45930</v>
      </c>
      <c r="JQ4" s="7">
        <v>45931</v>
      </c>
      <c r="JR4" s="7">
        <v>45932</v>
      </c>
      <c r="JS4" s="7">
        <v>45933</v>
      </c>
      <c r="JT4" s="7">
        <v>45934</v>
      </c>
      <c r="JU4" s="7">
        <v>45935</v>
      </c>
      <c r="JV4" s="7">
        <v>45936</v>
      </c>
      <c r="JW4" s="7">
        <v>45937</v>
      </c>
      <c r="JX4" s="7">
        <v>45938</v>
      </c>
      <c r="JY4" s="7">
        <v>45939</v>
      </c>
      <c r="JZ4" s="7">
        <v>45940</v>
      </c>
      <c r="KA4" s="7">
        <v>45941</v>
      </c>
      <c r="KB4" s="7">
        <v>45942</v>
      </c>
      <c r="KC4" s="7">
        <v>45943</v>
      </c>
      <c r="KD4" s="7">
        <v>45944</v>
      </c>
      <c r="KE4" s="7">
        <v>45945</v>
      </c>
      <c r="KF4" s="7">
        <v>45946</v>
      </c>
      <c r="KG4" s="7">
        <v>45947</v>
      </c>
      <c r="KH4" s="7">
        <v>45948</v>
      </c>
      <c r="KI4" s="7">
        <v>45949</v>
      </c>
      <c r="KJ4" s="7">
        <v>45950</v>
      </c>
      <c r="KK4" s="7">
        <v>45951</v>
      </c>
      <c r="KL4" s="7">
        <v>45952</v>
      </c>
      <c r="KM4" s="7">
        <v>45953</v>
      </c>
      <c r="KN4" s="7">
        <v>45954</v>
      </c>
      <c r="KO4" s="7">
        <v>45955</v>
      </c>
      <c r="KP4" s="7">
        <v>45956</v>
      </c>
      <c r="KQ4" s="7">
        <v>45957</v>
      </c>
      <c r="KR4" s="7">
        <v>45958</v>
      </c>
      <c r="KS4" s="7">
        <v>45959</v>
      </c>
      <c r="KT4" s="7">
        <v>45960</v>
      </c>
      <c r="KU4" s="7">
        <v>45961</v>
      </c>
      <c r="KV4" s="7">
        <v>45962</v>
      </c>
      <c r="KW4" s="7">
        <v>45963</v>
      </c>
      <c r="KX4" s="7">
        <v>45964</v>
      </c>
      <c r="KY4" s="7">
        <v>45965</v>
      </c>
      <c r="KZ4" s="7">
        <v>45966</v>
      </c>
      <c r="LA4" s="7">
        <v>45967</v>
      </c>
      <c r="LB4" s="7">
        <v>45968</v>
      </c>
      <c r="LC4" s="7">
        <v>45969</v>
      </c>
      <c r="LD4" s="7">
        <v>45970</v>
      </c>
      <c r="LE4" s="7">
        <v>45971</v>
      </c>
      <c r="LF4" s="7">
        <v>45972</v>
      </c>
      <c r="LG4" s="7">
        <v>45973</v>
      </c>
      <c r="LH4" s="7">
        <v>45974</v>
      </c>
      <c r="LI4" s="7">
        <v>45975</v>
      </c>
      <c r="LJ4" s="7">
        <v>45976</v>
      </c>
      <c r="LK4" s="7">
        <v>45977</v>
      </c>
      <c r="LL4" s="7">
        <v>45978</v>
      </c>
      <c r="LM4" s="7">
        <v>45979</v>
      </c>
      <c r="LN4" s="7">
        <v>45980</v>
      </c>
      <c r="LO4" s="7">
        <v>45981</v>
      </c>
      <c r="LP4" s="7">
        <v>45982</v>
      </c>
      <c r="LQ4" s="7">
        <v>45983</v>
      </c>
      <c r="LR4" s="7">
        <v>45984</v>
      </c>
      <c r="LS4" s="7">
        <v>45985</v>
      </c>
      <c r="LT4" s="7">
        <v>45986</v>
      </c>
      <c r="LU4" s="7">
        <v>45987</v>
      </c>
      <c r="LV4" s="7">
        <v>45988</v>
      </c>
      <c r="LW4" s="7">
        <v>45989</v>
      </c>
      <c r="LX4" s="7">
        <v>45990</v>
      </c>
      <c r="LY4" s="7">
        <v>45991</v>
      </c>
      <c r="LZ4" s="7">
        <v>45992</v>
      </c>
      <c r="MA4" s="7">
        <v>45993</v>
      </c>
      <c r="MB4" s="7">
        <v>45994</v>
      </c>
      <c r="MC4" s="7">
        <v>45995</v>
      </c>
      <c r="MD4" s="7">
        <v>45996</v>
      </c>
      <c r="ME4" s="7">
        <v>45997</v>
      </c>
      <c r="MF4" s="7">
        <v>45998</v>
      </c>
      <c r="MG4" s="7">
        <v>45999</v>
      </c>
      <c r="MH4" s="7">
        <v>46000</v>
      </c>
      <c r="MI4" s="7">
        <v>46001</v>
      </c>
      <c r="MJ4" s="7">
        <v>46002</v>
      </c>
      <c r="MK4" s="7">
        <v>46003</v>
      </c>
      <c r="ML4" s="7">
        <v>46004</v>
      </c>
      <c r="MM4" s="7">
        <v>46005</v>
      </c>
      <c r="MN4" s="7">
        <v>46006</v>
      </c>
      <c r="MO4" s="7">
        <v>46007</v>
      </c>
      <c r="MP4" s="7">
        <v>46008</v>
      </c>
      <c r="MQ4" s="7">
        <v>46009</v>
      </c>
      <c r="MR4" s="7">
        <v>46010</v>
      </c>
      <c r="MS4" s="7">
        <v>46011</v>
      </c>
      <c r="MT4" s="7">
        <v>46012</v>
      </c>
      <c r="MU4" s="7">
        <v>46013</v>
      </c>
      <c r="MV4" s="7">
        <v>46014</v>
      </c>
      <c r="MW4" s="7">
        <v>46015</v>
      </c>
      <c r="MX4" s="7">
        <v>46016</v>
      </c>
      <c r="MY4" s="7">
        <v>46017</v>
      </c>
      <c r="MZ4" s="7">
        <v>46018</v>
      </c>
      <c r="NA4" s="7">
        <v>46019</v>
      </c>
      <c r="NB4" s="7">
        <v>46020</v>
      </c>
      <c r="NC4" s="7">
        <v>46021</v>
      </c>
      <c r="ND4" s="7">
        <v>46022</v>
      </c>
    </row>
    <row r="5" spans="1:421" s="17" customFormat="1" ht="51.75" customHeight="1" x14ac:dyDescent="0.3">
      <c r="A5" s="3"/>
      <c r="B5" s="3"/>
      <c r="C5" s="10"/>
      <c r="D5" s="14" t="str">
        <f>TEXT(D4,"ddd")</f>
        <v>Wed</v>
      </c>
      <c r="E5" s="14" t="str">
        <f t="shared" ref="E5:K5" si="18">TEXT(E4,"ddd")</f>
        <v>Thu</v>
      </c>
      <c r="F5" s="14" t="str">
        <f t="shared" si="18"/>
        <v>Fri</v>
      </c>
      <c r="G5" s="14" t="str">
        <f t="shared" si="18"/>
        <v>Sat</v>
      </c>
      <c r="H5" s="14" t="str">
        <f t="shared" si="18"/>
        <v>Sun</v>
      </c>
      <c r="I5" s="14" t="str">
        <f t="shared" si="18"/>
        <v>Mon</v>
      </c>
      <c r="J5" s="14" t="str">
        <f t="shared" si="18"/>
        <v>Tue</v>
      </c>
      <c r="K5" s="14" t="str">
        <f t="shared" si="18"/>
        <v>Wed</v>
      </c>
      <c r="L5" s="14" t="str">
        <f t="shared" ref="L5" si="19">TEXT(L4,"ddd")</f>
        <v>Thu</v>
      </c>
      <c r="M5" s="14" t="str">
        <f t="shared" ref="M5" si="20">TEXT(M4,"ddd")</f>
        <v>Fri</v>
      </c>
      <c r="N5" s="14" t="str">
        <f t="shared" ref="N5" si="21">TEXT(N4,"ddd")</f>
        <v>Sat</v>
      </c>
      <c r="O5" s="14" t="str">
        <f t="shared" ref="O5" si="22">TEXT(O4,"ddd")</f>
        <v>Sun</v>
      </c>
      <c r="P5" s="14" t="str">
        <f t="shared" ref="P5" si="23">TEXT(P4,"ddd")</f>
        <v>Mon</v>
      </c>
      <c r="Q5" s="14" t="str">
        <f t="shared" ref="Q5:R5" si="24">TEXT(Q4,"ddd")</f>
        <v>Tue</v>
      </c>
      <c r="R5" s="14" t="str">
        <f t="shared" si="24"/>
        <v>Wed</v>
      </c>
      <c r="S5" s="14" t="str">
        <f t="shared" ref="S5" si="25">TEXT(S4,"ddd")</f>
        <v>Thu</v>
      </c>
      <c r="T5" s="14" t="str">
        <f t="shared" ref="T5" si="26">TEXT(T4,"ddd")</f>
        <v>Fri</v>
      </c>
      <c r="U5" s="14" t="str">
        <f t="shared" ref="U5" si="27">TEXT(U4,"ddd")</f>
        <v>Sat</v>
      </c>
      <c r="V5" s="14" t="str">
        <f t="shared" ref="V5" si="28">TEXT(V4,"ddd")</f>
        <v>Sun</v>
      </c>
      <c r="W5" s="14" t="str">
        <f t="shared" ref="W5" si="29">TEXT(W4,"ddd")</f>
        <v>Mon</v>
      </c>
      <c r="X5" s="14" t="str">
        <f t="shared" ref="X5:Y5" si="30">TEXT(X4,"ddd")</f>
        <v>Tue</v>
      </c>
      <c r="Y5" s="14" t="str">
        <f t="shared" si="30"/>
        <v>Wed</v>
      </c>
      <c r="Z5" s="14" t="str">
        <f t="shared" ref="Z5" si="31">TEXT(Z4,"ddd")</f>
        <v>Thu</v>
      </c>
      <c r="AA5" s="14" t="str">
        <f t="shared" ref="AA5" si="32">TEXT(AA4,"ddd")</f>
        <v>Fri</v>
      </c>
      <c r="AB5" s="14" t="str">
        <f t="shared" ref="AB5" si="33">TEXT(AB4,"ddd")</f>
        <v>Sat</v>
      </c>
      <c r="AC5" s="14" t="str">
        <f t="shared" ref="AC5" si="34">TEXT(AC4,"ddd")</f>
        <v>Sun</v>
      </c>
      <c r="AD5" s="14" t="str">
        <f t="shared" ref="AD5" si="35">TEXT(AD4,"ddd")</f>
        <v>Mon</v>
      </c>
      <c r="AE5" s="14" t="str">
        <f t="shared" ref="AE5:AF5" si="36">TEXT(AE4,"ddd")</f>
        <v>Tue</v>
      </c>
      <c r="AF5" s="14" t="str">
        <f t="shared" si="36"/>
        <v>Wed</v>
      </c>
      <c r="AG5" s="14" t="str">
        <f t="shared" ref="AG5" si="37">TEXT(AG4,"ddd")</f>
        <v>Thu</v>
      </c>
      <c r="AH5" s="14" t="str">
        <f t="shared" ref="AH5" si="38">TEXT(AH4,"ddd")</f>
        <v>Fri</v>
      </c>
      <c r="AI5" s="14" t="str">
        <f t="shared" ref="AI5" si="39">TEXT(AI4,"ddd")</f>
        <v>Sat</v>
      </c>
      <c r="AJ5" s="14" t="str">
        <f t="shared" ref="AJ5" si="40">TEXT(AJ4,"ddd")</f>
        <v>Sun</v>
      </c>
      <c r="AK5" s="14" t="str">
        <f t="shared" ref="AK5" si="41">TEXT(AK4,"ddd")</f>
        <v>Mon</v>
      </c>
      <c r="AL5" s="14" t="str">
        <f t="shared" ref="AL5:AM5" si="42">TEXT(AL4,"ddd")</f>
        <v>Tue</v>
      </c>
      <c r="AM5" s="14" t="str">
        <f t="shared" si="42"/>
        <v>Wed</v>
      </c>
      <c r="AN5" s="14" t="str">
        <f t="shared" ref="AN5" si="43">TEXT(AN4,"ddd")</f>
        <v>Thu</v>
      </c>
      <c r="AO5" s="14" t="str">
        <f t="shared" ref="AO5" si="44">TEXT(AO4,"ddd")</f>
        <v>Fri</v>
      </c>
      <c r="AP5" s="14" t="str">
        <f t="shared" ref="AP5" si="45">TEXT(AP4,"ddd")</f>
        <v>Sat</v>
      </c>
      <c r="AQ5" s="14" t="str">
        <f t="shared" ref="AQ5" si="46">TEXT(AQ4,"ddd")</f>
        <v>Sun</v>
      </c>
      <c r="AR5" s="14" t="str">
        <f t="shared" ref="AR5" si="47">TEXT(AR4,"ddd")</f>
        <v>Mon</v>
      </c>
      <c r="AS5" s="14" t="str">
        <f t="shared" ref="AS5:AT5" si="48">TEXT(AS4,"ddd")</f>
        <v>Tue</v>
      </c>
      <c r="AT5" s="14" t="str">
        <f t="shared" si="48"/>
        <v>Wed</v>
      </c>
      <c r="AU5" s="14" t="str">
        <f t="shared" ref="AU5" si="49">TEXT(AU4,"ddd")</f>
        <v>Thu</v>
      </c>
      <c r="AV5" s="14" t="str">
        <f t="shared" ref="AV5" si="50">TEXT(AV4,"ddd")</f>
        <v>Fri</v>
      </c>
      <c r="AW5" s="14" t="str">
        <f t="shared" ref="AW5" si="51">TEXT(AW4,"ddd")</f>
        <v>Sat</v>
      </c>
      <c r="AX5" s="14" t="str">
        <f t="shared" ref="AX5" si="52">TEXT(AX4,"ddd")</f>
        <v>Sun</v>
      </c>
      <c r="AY5" s="14" t="str">
        <f t="shared" ref="AY5" si="53">TEXT(AY4,"ddd")</f>
        <v>Mon</v>
      </c>
      <c r="AZ5" s="14" t="str">
        <f t="shared" ref="AZ5:BA5" si="54">TEXT(AZ4,"ddd")</f>
        <v>Tue</v>
      </c>
      <c r="BA5" s="14" t="str">
        <f t="shared" si="54"/>
        <v>Wed</v>
      </c>
      <c r="BB5" s="14" t="str">
        <f t="shared" ref="BB5" si="55">TEXT(BB4,"ddd")</f>
        <v>Thu</v>
      </c>
      <c r="BC5" s="14" t="str">
        <f t="shared" ref="BC5" si="56">TEXT(BC4,"ddd")</f>
        <v>Fri</v>
      </c>
      <c r="BD5" s="14" t="str">
        <f t="shared" ref="BD5" si="57">TEXT(BD4,"ddd")</f>
        <v>Sat</v>
      </c>
      <c r="BE5" s="14" t="str">
        <f t="shared" ref="BE5" si="58">TEXT(BE4,"ddd")</f>
        <v>Sun</v>
      </c>
      <c r="BF5" s="14" t="str">
        <f t="shared" ref="BF5" si="59">TEXT(BF4,"ddd")</f>
        <v>Mon</v>
      </c>
      <c r="BG5" s="14" t="str">
        <f t="shared" ref="BG5:BH5" si="60">TEXT(BG4,"ddd")</f>
        <v>Tue</v>
      </c>
      <c r="BH5" s="14" t="str">
        <f t="shared" si="60"/>
        <v>Wed</v>
      </c>
      <c r="BI5" s="14" t="str">
        <f t="shared" ref="BI5" si="61">TEXT(BI4,"ddd")</f>
        <v>Thu</v>
      </c>
      <c r="BJ5" s="14" t="str">
        <f t="shared" ref="BJ5" si="62">TEXT(BJ4,"ddd")</f>
        <v>Fri</v>
      </c>
      <c r="BK5" s="14" t="str">
        <f t="shared" ref="BK5" si="63">TEXT(BK4,"ddd")</f>
        <v>Sat</v>
      </c>
      <c r="BL5" s="14" t="str">
        <f t="shared" ref="BL5" si="64">TEXT(BL4,"ddd")</f>
        <v>Sun</v>
      </c>
      <c r="BM5" s="14" t="str">
        <f t="shared" ref="BM5" si="65">TEXT(BM4,"ddd")</f>
        <v>Mon</v>
      </c>
      <c r="BN5" s="14" t="str">
        <f t="shared" ref="BN5:BO5" si="66">TEXT(BN4,"ddd")</f>
        <v>Tue</v>
      </c>
      <c r="BO5" s="14" t="str">
        <f t="shared" si="66"/>
        <v>Wed</v>
      </c>
      <c r="BP5" s="14" t="str">
        <f t="shared" ref="BP5" si="67">TEXT(BP4,"ddd")</f>
        <v>Thu</v>
      </c>
      <c r="BQ5" s="14" t="str">
        <f t="shared" ref="BQ5" si="68">TEXT(BQ4,"ddd")</f>
        <v>Fri</v>
      </c>
      <c r="BR5" s="14" t="str">
        <f t="shared" ref="BR5" si="69">TEXT(BR4,"ddd")</f>
        <v>Sat</v>
      </c>
      <c r="BS5" s="14" t="str">
        <f t="shared" ref="BS5" si="70">TEXT(BS4,"ddd")</f>
        <v>Sun</v>
      </c>
      <c r="BT5" s="14" t="str">
        <f t="shared" ref="BT5" si="71">TEXT(BT4,"ddd")</f>
        <v>Mon</v>
      </c>
      <c r="BU5" s="14" t="str">
        <f t="shared" ref="BU5:BV5" si="72">TEXT(BU4,"ddd")</f>
        <v>Tue</v>
      </c>
      <c r="BV5" s="14" t="str">
        <f t="shared" si="72"/>
        <v>Wed</v>
      </c>
      <c r="BW5" s="14" t="str">
        <f t="shared" ref="BW5" si="73">TEXT(BW4,"ddd")</f>
        <v>Thu</v>
      </c>
      <c r="BX5" s="14" t="str">
        <f t="shared" ref="BX5" si="74">TEXT(BX4,"ddd")</f>
        <v>Fri</v>
      </c>
      <c r="BY5" s="14" t="str">
        <f t="shared" ref="BY5" si="75">TEXT(BY4,"ddd")</f>
        <v>Sat</v>
      </c>
      <c r="BZ5" s="14" t="str">
        <f t="shared" ref="BZ5" si="76">TEXT(BZ4,"ddd")</f>
        <v>Sun</v>
      </c>
      <c r="CA5" s="14" t="str">
        <f t="shared" ref="CA5" si="77">TEXT(CA4,"ddd")</f>
        <v>Mon</v>
      </c>
      <c r="CB5" s="14" t="str">
        <f t="shared" ref="CB5:CC5" si="78">TEXT(CB4,"ddd")</f>
        <v>Tue</v>
      </c>
      <c r="CC5" s="14" t="str">
        <f t="shared" si="78"/>
        <v>Wed</v>
      </c>
      <c r="CD5" s="14" t="str">
        <f t="shared" ref="CD5" si="79">TEXT(CD4,"ddd")</f>
        <v>Thu</v>
      </c>
      <c r="CE5" s="14" t="str">
        <f t="shared" ref="CE5" si="80">TEXT(CE4,"ddd")</f>
        <v>Fri</v>
      </c>
      <c r="CF5" s="14" t="str">
        <f t="shared" ref="CF5" si="81">TEXT(CF4,"ddd")</f>
        <v>Sat</v>
      </c>
      <c r="CG5" s="14" t="str">
        <f t="shared" ref="CG5" si="82">TEXT(CG4,"ddd")</f>
        <v>Sun</v>
      </c>
      <c r="CH5" s="14" t="str">
        <f t="shared" ref="CH5" si="83">TEXT(CH4,"ddd")</f>
        <v>Mon</v>
      </c>
      <c r="CI5" s="14" t="str">
        <f t="shared" ref="CI5:CJ5" si="84">TEXT(CI4,"ddd")</f>
        <v>Tue</v>
      </c>
      <c r="CJ5" s="14" t="str">
        <f t="shared" si="84"/>
        <v>Wed</v>
      </c>
      <c r="CK5" s="14" t="str">
        <f t="shared" ref="CK5" si="85">TEXT(CK4,"ddd")</f>
        <v>Thu</v>
      </c>
      <c r="CL5" s="14" t="str">
        <f t="shared" ref="CL5" si="86">TEXT(CL4,"ddd")</f>
        <v>Fri</v>
      </c>
      <c r="CM5" s="14" t="str">
        <f t="shared" ref="CM5" si="87">TEXT(CM4,"ddd")</f>
        <v>Sat</v>
      </c>
      <c r="CN5" s="14" t="str">
        <f t="shared" ref="CN5" si="88">TEXT(CN4,"ddd")</f>
        <v>Sun</v>
      </c>
      <c r="CO5" s="14" t="str">
        <f t="shared" ref="CO5" si="89">TEXT(CO4,"ddd")</f>
        <v>Mon</v>
      </c>
      <c r="CP5" s="14" t="str">
        <f t="shared" ref="CP5:CQ5" si="90">TEXT(CP4,"ddd")</f>
        <v>Tue</v>
      </c>
      <c r="CQ5" s="14" t="str">
        <f t="shared" si="90"/>
        <v>Wed</v>
      </c>
      <c r="CR5" s="14" t="str">
        <f t="shared" ref="CR5" si="91">TEXT(CR4,"ddd")</f>
        <v>Thu</v>
      </c>
      <c r="CS5" s="14" t="str">
        <f t="shared" ref="CS5" si="92">TEXT(CS4,"ddd")</f>
        <v>Fri</v>
      </c>
      <c r="CT5" s="14" t="str">
        <f t="shared" ref="CT5" si="93">TEXT(CT4,"ddd")</f>
        <v>Sat</v>
      </c>
      <c r="CU5" s="14" t="str">
        <f t="shared" ref="CU5" si="94">TEXT(CU4,"ddd")</f>
        <v>Sun</v>
      </c>
      <c r="CV5" s="14" t="str">
        <f t="shared" ref="CV5" si="95">TEXT(CV4,"ddd")</f>
        <v>Mon</v>
      </c>
      <c r="CW5" s="14" t="str">
        <f t="shared" ref="CW5:CX5" si="96">TEXT(CW4,"ddd")</f>
        <v>Tue</v>
      </c>
      <c r="CX5" s="14" t="str">
        <f t="shared" si="96"/>
        <v>Wed</v>
      </c>
      <c r="CY5" s="14" t="str">
        <f t="shared" ref="CY5" si="97">TEXT(CY4,"ddd")</f>
        <v>Thu</v>
      </c>
      <c r="CZ5" s="14" t="str">
        <f t="shared" ref="CZ5" si="98">TEXT(CZ4,"ddd")</f>
        <v>Fri</v>
      </c>
      <c r="DA5" s="14" t="str">
        <f t="shared" ref="DA5" si="99">TEXT(DA4,"ddd")</f>
        <v>Sat</v>
      </c>
      <c r="DB5" s="14" t="str">
        <f t="shared" ref="DB5" si="100">TEXT(DB4,"ddd")</f>
        <v>Sun</v>
      </c>
      <c r="DC5" s="14" t="str">
        <f t="shared" ref="DC5" si="101">TEXT(DC4,"ddd")</f>
        <v>Mon</v>
      </c>
      <c r="DD5" s="14" t="str">
        <f t="shared" ref="DD5:DE5" si="102">TEXT(DD4,"ddd")</f>
        <v>Tue</v>
      </c>
      <c r="DE5" s="14" t="str">
        <f t="shared" si="102"/>
        <v>Wed</v>
      </c>
      <c r="DF5" s="14" t="str">
        <f t="shared" ref="DF5" si="103">TEXT(DF4,"ddd")</f>
        <v>Thu</v>
      </c>
      <c r="DG5" s="14" t="str">
        <f t="shared" ref="DG5" si="104">TEXT(DG4,"ddd")</f>
        <v>Fri</v>
      </c>
      <c r="DH5" s="14" t="str">
        <f t="shared" ref="DH5" si="105">TEXT(DH4,"ddd")</f>
        <v>Sat</v>
      </c>
      <c r="DI5" s="14" t="str">
        <f t="shared" ref="DI5" si="106">TEXT(DI4,"ddd")</f>
        <v>Sun</v>
      </c>
      <c r="DJ5" s="14" t="str">
        <f t="shared" ref="DJ5" si="107">TEXT(DJ4,"ddd")</f>
        <v>Mon</v>
      </c>
      <c r="DK5" s="14" t="str">
        <f t="shared" ref="DK5:DL5" si="108">TEXT(DK4,"ddd")</f>
        <v>Tue</v>
      </c>
      <c r="DL5" s="14" t="str">
        <f t="shared" si="108"/>
        <v>Wed</v>
      </c>
      <c r="DM5" s="14" t="str">
        <f t="shared" ref="DM5" si="109">TEXT(DM4,"ddd")</f>
        <v>Thu</v>
      </c>
      <c r="DN5" s="14" t="str">
        <f t="shared" ref="DN5" si="110">TEXT(DN4,"ddd")</f>
        <v>Fri</v>
      </c>
      <c r="DO5" s="14" t="str">
        <f t="shared" ref="DO5" si="111">TEXT(DO4,"ddd")</f>
        <v>Sat</v>
      </c>
      <c r="DP5" s="14" t="str">
        <f t="shared" ref="DP5" si="112">TEXT(DP4,"ddd")</f>
        <v>Sun</v>
      </c>
      <c r="DQ5" s="14" t="str">
        <f t="shared" ref="DQ5" si="113">TEXT(DQ4,"ddd")</f>
        <v>Mon</v>
      </c>
      <c r="DR5" s="14" t="str">
        <f t="shared" ref="DR5:DS5" si="114">TEXT(DR4,"ddd")</f>
        <v>Tue</v>
      </c>
      <c r="DS5" s="14" t="str">
        <f t="shared" si="114"/>
        <v>Wed</v>
      </c>
      <c r="DT5" s="14" t="str">
        <f t="shared" ref="DT5" si="115">TEXT(DT4,"ddd")</f>
        <v>Thu</v>
      </c>
      <c r="DU5" s="14" t="str">
        <f t="shared" ref="DU5" si="116">TEXT(DU4,"ddd")</f>
        <v>Fri</v>
      </c>
      <c r="DV5" s="14" t="str">
        <f t="shared" ref="DV5" si="117">TEXT(DV4,"ddd")</f>
        <v>Sat</v>
      </c>
      <c r="DW5" s="14" t="str">
        <f t="shared" ref="DW5" si="118">TEXT(DW4,"ddd")</f>
        <v>Sun</v>
      </c>
      <c r="DX5" s="14" t="str">
        <f t="shared" ref="DX5" si="119">TEXT(DX4,"ddd")</f>
        <v>Mon</v>
      </c>
      <c r="DY5" s="14" t="str">
        <f t="shared" ref="DY5:DZ5" si="120">TEXT(DY4,"ddd")</f>
        <v>Tue</v>
      </c>
      <c r="DZ5" s="14" t="str">
        <f t="shared" si="120"/>
        <v>Wed</v>
      </c>
      <c r="EA5" s="14" t="str">
        <f t="shared" ref="EA5" si="121">TEXT(EA4,"ddd")</f>
        <v>Thu</v>
      </c>
      <c r="EB5" s="14" t="str">
        <f t="shared" ref="EB5" si="122">TEXT(EB4,"ddd")</f>
        <v>Fri</v>
      </c>
      <c r="EC5" s="14" t="str">
        <f t="shared" ref="EC5" si="123">TEXT(EC4,"ddd")</f>
        <v>Sat</v>
      </c>
      <c r="ED5" s="14" t="str">
        <f t="shared" ref="ED5" si="124">TEXT(ED4,"ddd")</f>
        <v>Sun</v>
      </c>
      <c r="EE5" s="14" t="str">
        <f t="shared" ref="EE5" si="125">TEXT(EE4,"ddd")</f>
        <v>Mon</v>
      </c>
      <c r="EF5" s="14" t="str">
        <f t="shared" ref="EF5:EG5" si="126">TEXT(EF4,"ddd")</f>
        <v>Tue</v>
      </c>
      <c r="EG5" s="14" t="str">
        <f t="shared" si="126"/>
        <v>Wed</v>
      </c>
      <c r="EH5" s="14" t="str">
        <f t="shared" ref="EH5" si="127">TEXT(EH4,"ddd")</f>
        <v>Thu</v>
      </c>
      <c r="EI5" s="14" t="str">
        <f t="shared" ref="EI5" si="128">TEXT(EI4,"ddd")</f>
        <v>Fri</v>
      </c>
      <c r="EJ5" s="14" t="str">
        <f t="shared" ref="EJ5" si="129">TEXT(EJ4,"ddd")</f>
        <v>Sat</v>
      </c>
      <c r="EK5" s="14" t="str">
        <f t="shared" ref="EK5" si="130">TEXT(EK4,"ddd")</f>
        <v>Sun</v>
      </c>
      <c r="EL5" s="14" t="str">
        <f t="shared" ref="EL5" si="131">TEXT(EL4,"ddd")</f>
        <v>Mon</v>
      </c>
      <c r="EM5" s="14" t="str">
        <f t="shared" ref="EM5:EN5" si="132">TEXT(EM4,"ddd")</f>
        <v>Tue</v>
      </c>
      <c r="EN5" s="14" t="str">
        <f t="shared" si="132"/>
        <v>Wed</v>
      </c>
      <c r="EO5" s="14" t="str">
        <f t="shared" ref="EO5" si="133">TEXT(EO4,"ddd")</f>
        <v>Thu</v>
      </c>
      <c r="EP5" s="14" t="str">
        <f t="shared" ref="EP5" si="134">TEXT(EP4,"ddd")</f>
        <v>Fri</v>
      </c>
      <c r="EQ5" s="14" t="str">
        <f t="shared" ref="EQ5" si="135">TEXT(EQ4,"ddd")</f>
        <v>Sat</v>
      </c>
      <c r="ER5" s="14" t="str">
        <f t="shared" ref="ER5" si="136">TEXT(ER4,"ddd")</f>
        <v>Sun</v>
      </c>
      <c r="ES5" s="14" t="str">
        <f t="shared" ref="ES5" si="137">TEXT(ES4,"ddd")</f>
        <v>Mon</v>
      </c>
      <c r="ET5" s="14" t="str">
        <f t="shared" ref="ET5:EU5" si="138">TEXT(ET4,"ddd")</f>
        <v>Tue</v>
      </c>
      <c r="EU5" s="14" t="str">
        <f t="shared" si="138"/>
        <v>Wed</v>
      </c>
      <c r="EV5" s="14" t="str">
        <f t="shared" ref="EV5" si="139">TEXT(EV4,"ddd")</f>
        <v>Thu</v>
      </c>
      <c r="EW5" s="14" t="str">
        <f t="shared" ref="EW5" si="140">TEXT(EW4,"ddd")</f>
        <v>Fri</v>
      </c>
      <c r="EX5" s="14" t="str">
        <f t="shared" ref="EX5" si="141">TEXT(EX4,"ddd")</f>
        <v>Sat</v>
      </c>
      <c r="EY5" s="14" t="str">
        <f t="shared" ref="EY5" si="142">TEXT(EY4,"ddd")</f>
        <v>Sun</v>
      </c>
      <c r="EZ5" s="14" t="str">
        <f t="shared" ref="EZ5" si="143">TEXT(EZ4,"ddd")</f>
        <v>Mon</v>
      </c>
      <c r="FA5" s="14" t="str">
        <f t="shared" ref="FA5:FB5" si="144">TEXT(FA4,"ddd")</f>
        <v>Tue</v>
      </c>
      <c r="FB5" s="14" t="str">
        <f t="shared" si="144"/>
        <v>Wed</v>
      </c>
      <c r="FC5" s="14" t="str">
        <f t="shared" ref="FC5" si="145">TEXT(FC4,"ddd")</f>
        <v>Thu</v>
      </c>
      <c r="FD5" s="14" t="str">
        <f t="shared" ref="FD5" si="146">TEXT(FD4,"ddd")</f>
        <v>Fri</v>
      </c>
      <c r="FE5" s="14" t="str">
        <f t="shared" ref="FE5" si="147">TEXT(FE4,"ddd")</f>
        <v>Sat</v>
      </c>
      <c r="FF5" s="14" t="str">
        <f t="shared" ref="FF5" si="148">TEXT(FF4,"ddd")</f>
        <v>Sun</v>
      </c>
      <c r="FG5" s="14" t="str">
        <f t="shared" ref="FG5" si="149">TEXT(FG4,"ddd")</f>
        <v>Mon</v>
      </c>
      <c r="FH5" s="14" t="str">
        <f t="shared" ref="FH5:FI5" si="150">TEXT(FH4,"ddd")</f>
        <v>Tue</v>
      </c>
      <c r="FI5" s="14" t="str">
        <f t="shared" si="150"/>
        <v>Wed</v>
      </c>
      <c r="FJ5" s="14" t="str">
        <f t="shared" ref="FJ5" si="151">TEXT(FJ4,"ddd")</f>
        <v>Thu</v>
      </c>
      <c r="FK5" s="14" t="str">
        <f t="shared" ref="FK5" si="152">TEXT(FK4,"ddd")</f>
        <v>Fri</v>
      </c>
      <c r="FL5" s="14" t="str">
        <f t="shared" ref="FL5" si="153">TEXT(FL4,"ddd")</f>
        <v>Sat</v>
      </c>
      <c r="FM5" s="14" t="str">
        <f t="shared" ref="FM5" si="154">TEXT(FM4,"ddd")</f>
        <v>Sun</v>
      </c>
      <c r="FN5" s="14" t="str">
        <f t="shared" ref="FN5" si="155">TEXT(FN4,"ddd")</f>
        <v>Mon</v>
      </c>
      <c r="FO5" s="14" t="str">
        <f t="shared" ref="FO5:FP5" si="156">TEXT(FO4,"ddd")</f>
        <v>Tue</v>
      </c>
      <c r="FP5" s="14" t="str">
        <f t="shared" si="156"/>
        <v>Wed</v>
      </c>
      <c r="FQ5" s="14" t="str">
        <f t="shared" ref="FQ5" si="157">TEXT(FQ4,"ddd")</f>
        <v>Thu</v>
      </c>
      <c r="FR5" s="14" t="str">
        <f t="shared" ref="FR5" si="158">TEXT(FR4,"ddd")</f>
        <v>Fri</v>
      </c>
      <c r="FS5" s="14" t="str">
        <f t="shared" ref="FS5" si="159">TEXT(FS4,"ddd")</f>
        <v>Sat</v>
      </c>
      <c r="FT5" s="14" t="str">
        <f t="shared" ref="FT5" si="160">TEXT(FT4,"ddd")</f>
        <v>Sun</v>
      </c>
      <c r="FU5" s="14" t="str">
        <f t="shared" ref="FU5" si="161">TEXT(FU4,"ddd")</f>
        <v>Mon</v>
      </c>
      <c r="FV5" s="14" t="str">
        <f t="shared" ref="FV5:FW5" si="162">TEXT(FV4,"ddd")</f>
        <v>Tue</v>
      </c>
      <c r="FW5" s="14" t="str">
        <f t="shared" si="162"/>
        <v>Wed</v>
      </c>
      <c r="FX5" s="14" t="str">
        <f t="shared" ref="FX5" si="163">TEXT(FX4,"ddd")</f>
        <v>Thu</v>
      </c>
      <c r="FY5" s="14" t="str">
        <f t="shared" ref="FY5" si="164">TEXT(FY4,"ddd")</f>
        <v>Fri</v>
      </c>
      <c r="FZ5" s="14" t="str">
        <f t="shared" ref="FZ5" si="165">TEXT(FZ4,"ddd")</f>
        <v>Sat</v>
      </c>
      <c r="GA5" s="14" t="str">
        <f t="shared" ref="GA5" si="166">TEXT(GA4,"ddd")</f>
        <v>Sun</v>
      </c>
      <c r="GB5" s="14" t="str">
        <f t="shared" ref="GB5" si="167">TEXT(GB4,"ddd")</f>
        <v>Mon</v>
      </c>
      <c r="GC5" s="14" t="str">
        <f t="shared" ref="GC5:GD5" si="168">TEXT(GC4,"ddd")</f>
        <v>Tue</v>
      </c>
      <c r="GD5" s="14" t="str">
        <f t="shared" si="168"/>
        <v>Wed</v>
      </c>
      <c r="GE5" s="14" t="str">
        <f t="shared" ref="GE5" si="169">TEXT(GE4,"ddd")</f>
        <v>Thu</v>
      </c>
      <c r="GF5" s="14" t="str">
        <f t="shared" ref="GF5" si="170">TEXT(GF4,"ddd")</f>
        <v>Fri</v>
      </c>
      <c r="GG5" s="14" t="str">
        <f t="shared" ref="GG5" si="171">TEXT(GG4,"ddd")</f>
        <v>Sat</v>
      </c>
      <c r="GH5" s="14" t="str">
        <f t="shared" ref="GH5" si="172">TEXT(GH4,"ddd")</f>
        <v>Sun</v>
      </c>
      <c r="GI5" s="14" t="str">
        <f t="shared" ref="GI5" si="173">TEXT(GI4,"ddd")</f>
        <v>Mon</v>
      </c>
      <c r="GJ5" s="14" t="str">
        <f t="shared" ref="GJ5:GK5" si="174">TEXT(GJ4,"ddd")</f>
        <v>Tue</v>
      </c>
      <c r="GK5" s="14" t="str">
        <f t="shared" si="174"/>
        <v>Wed</v>
      </c>
      <c r="GL5" s="14" t="str">
        <f t="shared" ref="GL5" si="175">TEXT(GL4,"ddd")</f>
        <v>Thu</v>
      </c>
      <c r="GM5" s="14" t="str">
        <f t="shared" ref="GM5" si="176">TEXT(GM4,"ddd")</f>
        <v>Fri</v>
      </c>
      <c r="GN5" s="14" t="str">
        <f t="shared" ref="GN5" si="177">TEXT(GN4,"ddd")</f>
        <v>Sat</v>
      </c>
      <c r="GO5" s="14" t="str">
        <f t="shared" ref="GO5" si="178">TEXT(GO4,"ddd")</f>
        <v>Sun</v>
      </c>
      <c r="GP5" s="14" t="str">
        <f t="shared" ref="GP5" si="179">TEXT(GP4,"ddd")</f>
        <v>Mon</v>
      </c>
      <c r="GQ5" s="14" t="str">
        <f t="shared" ref="GQ5:GR5" si="180">TEXT(GQ4,"ddd")</f>
        <v>Tue</v>
      </c>
      <c r="GR5" s="14" t="str">
        <f t="shared" si="180"/>
        <v>Wed</v>
      </c>
      <c r="GS5" s="14" t="str">
        <f t="shared" ref="GS5" si="181">TEXT(GS4,"ddd")</f>
        <v>Thu</v>
      </c>
      <c r="GT5" s="14" t="str">
        <f t="shared" ref="GT5" si="182">TEXT(GT4,"ddd")</f>
        <v>Fri</v>
      </c>
      <c r="GU5" s="14" t="str">
        <f t="shared" ref="GU5" si="183">TEXT(GU4,"ddd")</f>
        <v>Sat</v>
      </c>
      <c r="GV5" s="14" t="str">
        <f t="shared" ref="GV5" si="184">TEXT(GV4,"ddd")</f>
        <v>Sun</v>
      </c>
      <c r="GW5" s="14" t="str">
        <f t="shared" ref="GW5" si="185">TEXT(GW4,"ddd")</f>
        <v>Mon</v>
      </c>
      <c r="GX5" s="14" t="str">
        <f t="shared" ref="GX5:GY5" si="186">TEXT(GX4,"ddd")</f>
        <v>Tue</v>
      </c>
      <c r="GY5" s="14" t="str">
        <f t="shared" si="186"/>
        <v>Wed</v>
      </c>
      <c r="GZ5" s="14" t="str">
        <f t="shared" ref="GZ5" si="187">TEXT(GZ4,"ddd")</f>
        <v>Thu</v>
      </c>
      <c r="HA5" s="14" t="str">
        <f t="shared" ref="HA5" si="188">TEXT(HA4,"ddd")</f>
        <v>Fri</v>
      </c>
      <c r="HB5" s="14" t="str">
        <f t="shared" ref="HB5" si="189">TEXT(HB4,"ddd")</f>
        <v>Sat</v>
      </c>
      <c r="HC5" s="14" t="str">
        <f t="shared" ref="HC5" si="190">TEXT(HC4,"ddd")</f>
        <v>Sun</v>
      </c>
      <c r="HD5" s="14" t="str">
        <f t="shared" ref="HD5" si="191">TEXT(HD4,"ddd")</f>
        <v>Mon</v>
      </c>
      <c r="HE5" s="14" t="str">
        <f t="shared" ref="HE5:HF5" si="192">TEXT(HE4,"ddd")</f>
        <v>Tue</v>
      </c>
      <c r="HF5" s="14" t="str">
        <f t="shared" si="192"/>
        <v>Wed</v>
      </c>
      <c r="HG5" s="14" t="str">
        <f t="shared" ref="HG5" si="193">TEXT(HG4,"ddd")</f>
        <v>Thu</v>
      </c>
      <c r="HH5" s="14" t="str">
        <f t="shared" ref="HH5" si="194">TEXT(HH4,"ddd")</f>
        <v>Fri</v>
      </c>
      <c r="HI5" s="14" t="str">
        <f t="shared" ref="HI5" si="195">TEXT(HI4,"ddd")</f>
        <v>Sat</v>
      </c>
      <c r="HJ5" s="14" t="str">
        <f t="shared" ref="HJ5" si="196">TEXT(HJ4,"ddd")</f>
        <v>Sun</v>
      </c>
      <c r="HK5" s="14" t="str">
        <f t="shared" ref="HK5" si="197">TEXT(HK4,"ddd")</f>
        <v>Mon</v>
      </c>
      <c r="HL5" s="14" t="str">
        <f t="shared" ref="HL5:HM5" si="198">TEXT(HL4,"ddd")</f>
        <v>Tue</v>
      </c>
      <c r="HM5" s="14" t="str">
        <f t="shared" si="198"/>
        <v>Wed</v>
      </c>
      <c r="HN5" s="14" t="str">
        <f t="shared" ref="HN5" si="199">TEXT(HN4,"ddd")</f>
        <v>Thu</v>
      </c>
      <c r="HO5" s="14" t="str">
        <f t="shared" ref="HO5" si="200">TEXT(HO4,"ddd")</f>
        <v>Fri</v>
      </c>
      <c r="HP5" s="14" t="str">
        <f t="shared" ref="HP5" si="201">TEXT(HP4,"ddd")</f>
        <v>Sat</v>
      </c>
      <c r="HQ5" s="14" t="str">
        <f t="shared" ref="HQ5" si="202">TEXT(HQ4,"ddd")</f>
        <v>Sun</v>
      </c>
      <c r="HR5" s="14" t="str">
        <f t="shared" ref="HR5" si="203">TEXT(HR4,"ddd")</f>
        <v>Mon</v>
      </c>
      <c r="HS5" s="14" t="str">
        <f t="shared" ref="HS5:HT5" si="204">TEXT(HS4,"ddd")</f>
        <v>Tue</v>
      </c>
      <c r="HT5" s="14" t="str">
        <f t="shared" si="204"/>
        <v>Wed</v>
      </c>
      <c r="HU5" s="14" t="str">
        <f t="shared" ref="HU5" si="205">TEXT(HU4,"ddd")</f>
        <v>Thu</v>
      </c>
      <c r="HV5" s="14" t="str">
        <f t="shared" ref="HV5" si="206">TEXT(HV4,"ddd")</f>
        <v>Fri</v>
      </c>
      <c r="HW5" s="14" t="str">
        <f t="shared" ref="HW5" si="207">TEXT(HW4,"ddd")</f>
        <v>Sat</v>
      </c>
      <c r="HX5" s="14" t="str">
        <f t="shared" ref="HX5" si="208">TEXT(HX4,"ddd")</f>
        <v>Sun</v>
      </c>
      <c r="HY5" s="14" t="str">
        <f t="shared" ref="HY5" si="209">TEXT(HY4,"ddd")</f>
        <v>Mon</v>
      </c>
      <c r="HZ5" s="14" t="str">
        <f t="shared" ref="HZ5:IA5" si="210">TEXT(HZ4,"ddd")</f>
        <v>Tue</v>
      </c>
      <c r="IA5" s="14" t="str">
        <f t="shared" si="210"/>
        <v>Wed</v>
      </c>
      <c r="IB5" s="14" t="str">
        <f t="shared" ref="IB5" si="211">TEXT(IB4,"ddd")</f>
        <v>Thu</v>
      </c>
      <c r="IC5" s="14" t="str">
        <f t="shared" ref="IC5" si="212">TEXT(IC4,"ddd")</f>
        <v>Fri</v>
      </c>
      <c r="ID5" s="14" t="str">
        <f t="shared" ref="ID5" si="213">TEXT(ID4,"ddd")</f>
        <v>Sat</v>
      </c>
      <c r="IE5" s="14" t="str">
        <f t="shared" ref="IE5" si="214">TEXT(IE4,"ddd")</f>
        <v>Sun</v>
      </c>
      <c r="IF5" s="14" t="str">
        <f t="shared" ref="IF5" si="215">TEXT(IF4,"ddd")</f>
        <v>Mon</v>
      </c>
      <c r="IG5" s="14" t="str">
        <f t="shared" ref="IG5:IH5" si="216">TEXT(IG4,"ddd")</f>
        <v>Tue</v>
      </c>
      <c r="IH5" s="14" t="str">
        <f t="shared" si="216"/>
        <v>Wed</v>
      </c>
      <c r="II5" s="14" t="str">
        <f t="shared" ref="II5" si="217">TEXT(II4,"ddd")</f>
        <v>Thu</v>
      </c>
      <c r="IJ5" s="14" t="str">
        <f t="shared" ref="IJ5" si="218">TEXT(IJ4,"ddd")</f>
        <v>Fri</v>
      </c>
      <c r="IK5" s="14" t="str">
        <f t="shared" ref="IK5" si="219">TEXT(IK4,"ddd")</f>
        <v>Sat</v>
      </c>
      <c r="IL5" s="14" t="str">
        <f t="shared" ref="IL5" si="220">TEXT(IL4,"ddd")</f>
        <v>Sun</v>
      </c>
      <c r="IM5" s="14" t="str">
        <f t="shared" ref="IM5" si="221">TEXT(IM4,"ddd")</f>
        <v>Mon</v>
      </c>
      <c r="IN5" s="14" t="str">
        <f t="shared" ref="IN5:IO5" si="222">TEXT(IN4,"ddd")</f>
        <v>Tue</v>
      </c>
      <c r="IO5" s="14" t="str">
        <f t="shared" si="222"/>
        <v>Wed</v>
      </c>
      <c r="IP5" s="14" t="str">
        <f t="shared" ref="IP5" si="223">TEXT(IP4,"ddd")</f>
        <v>Thu</v>
      </c>
      <c r="IQ5" s="14" t="str">
        <f t="shared" ref="IQ5" si="224">TEXT(IQ4,"ddd")</f>
        <v>Fri</v>
      </c>
      <c r="IR5" s="14" t="str">
        <f t="shared" ref="IR5" si="225">TEXT(IR4,"ddd")</f>
        <v>Sat</v>
      </c>
      <c r="IS5" s="14" t="str">
        <f t="shared" ref="IS5" si="226">TEXT(IS4,"ddd")</f>
        <v>Sun</v>
      </c>
      <c r="IT5" s="14" t="str">
        <f t="shared" ref="IT5" si="227">TEXT(IT4,"ddd")</f>
        <v>Mon</v>
      </c>
      <c r="IU5" s="14" t="str">
        <f t="shared" ref="IU5:IV5" si="228">TEXT(IU4,"ddd")</f>
        <v>Tue</v>
      </c>
      <c r="IV5" s="14" t="str">
        <f t="shared" si="228"/>
        <v>Wed</v>
      </c>
      <c r="IW5" s="14" t="str">
        <f t="shared" ref="IW5" si="229">TEXT(IW4,"ddd")</f>
        <v>Thu</v>
      </c>
      <c r="IX5" s="14" t="str">
        <f t="shared" ref="IX5" si="230">TEXT(IX4,"ddd")</f>
        <v>Fri</v>
      </c>
      <c r="IY5" s="14" t="str">
        <f t="shared" ref="IY5" si="231">TEXT(IY4,"ddd")</f>
        <v>Sat</v>
      </c>
      <c r="IZ5" s="14" t="str">
        <f t="shared" ref="IZ5" si="232">TEXT(IZ4,"ddd")</f>
        <v>Sun</v>
      </c>
      <c r="JA5" s="14" t="str">
        <f t="shared" ref="JA5" si="233">TEXT(JA4,"ddd")</f>
        <v>Mon</v>
      </c>
      <c r="JB5" s="14" t="str">
        <f t="shared" ref="JB5:JC5" si="234">TEXT(JB4,"ddd")</f>
        <v>Tue</v>
      </c>
      <c r="JC5" s="14" t="str">
        <f t="shared" si="234"/>
        <v>Wed</v>
      </c>
      <c r="JD5" s="14" t="str">
        <f t="shared" ref="JD5" si="235">TEXT(JD4,"ddd")</f>
        <v>Thu</v>
      </c>
      <c r="JE5" s="14" t="str">
        <f t="shared" ref="JE5" si="236">TEXT(JE4,"ddd")</f>
        <v>Fri</v>
      </c>
      <c r="JF5" s="14" t="str">
        <f t="shared" ref="JF5" si="237">TEXT(JF4,"ddd")</f>
        <v>Sat</v>
      </c>
      <c r="JG5" s="14" t="str">
        <f t="shared" ref="JG5" si="238">TEXT(JG4,"ddd")</f>
        <v>Sun</v>
      </c>
      <c r="JH5" s="14" t="str">
        <f t="shared" ref="JH5" si="239">TEXT(JH4,"ddd")</f>
        <v>Mon</v>
      </c>
      <c r="JI5" s="14" t="str">
        <f t="shared" ref="JI5:JJ5" si="240">TEXT(JI4,"ddd")</f>
        <v>Tue</v>
      </c>
      <c r="JJ5" s="14" t="str">
        <f t="shared" si="240"/>
        <v>Wed</v>
      </c>
      <c r="JK5" s="14" t="str">
        <f t="shared" ref="JK5" si="241">TEXT(JK4,"ddd")</f>
        <v>Thu</v>
      </c>
      <c r="JL5" s="14" t="str">
        <f t="shared" ref="JL5" si="242">TEXT(JL4,"ddd")</f>
        <v>Fri</v>
      </c>
      <c r="JM5" s="14" t="str">
        <f t="shared" ref="JM5" si="243">TEXT(JM4,"ddd")</f>
        <v>Sat</v>
      </c>
      <c r="JN5" s="14" t="str">
        <f t="shared" ref="JN5" si="244">TEXT(JN4,"ddd")</f>
        <v>Sun</v>
      </c>
      <c r="JO5" s="14" t="str">
        <f t="shared" ref="JO5" si="245">TEXT(JO4,"ddd")</f>
        <v>Mon</v>
      </c>
      <c r="JP5" s="14" t="str">
        <f t="shared" ref="JP5:JQ5" si="246">TEXT(JP4,"ddd")</f>
        <v>Tue</v>
      </c>
      <c r="JQ5" s="14" t="str">
        <f t="shared" si="246"/>
        <v>Wed</v>
      </c>
      <c r="JR5" s="14" t="str">
        <f t="shared" ref="JR5" si="247">TEXT(JR4,"ddd")</f>
        <v>Thu</v>
      </c>
      <c r="JS5" s="14" t="str">
        <f t="shared" ref="JS5" si="248">TEXT(JS4,"ddd")</f>
        <v>Fri</v>
      </c>
      <c r="JT5" s="14" t="str">
        <f t="shared" ref="JT5" si="249">TEXT(JT4,"ddd")</f>
        <v>Sat</v>
      </c>
      <c r="JU5" s="14" t="str">
        <f t="shared" ref="JU5" si="250">TEXT(JU4,"ddd")</f>
        <v>Sun</v>
      </c>
      <c r="JV5" s="14" t="str">
        <f t="shared" ref="JV5" si="251">TEXT(JV4,"ddd")</f>
        <v>Mon</v>
      </c>
      <c r="JW5" s="14" t="str">
        <f t="shared" ref="JW5:JX5" si="252">TEXT(JW4,"ddd")</f>
        <v>Tue</v>
      </c>
      <c r="JX5" s="14" t="str">
        <f t="shared" si="252"/>
        <v>Wed</v>
      </c>
      <c r="JY5" s="14" t="str">
        <f t="shared" ref="JY5" si="253">TEXT(JY4,"ddd")</f>
        <v>Thu</v>
      </c>
      <c r="JZ5" s="14" t="str">
        <f t="shared" ref="JZ5" si="254">TEXT(JZ4,"ddd")</f>
        <v>Fri</v>
      </c>
      <c r="KA5" s="14" t="str">
        <f t="shared" ref="KA5" si="255">TEXT(KA4,"ddd")</f>
        <v>Sat</v>
      </c>
      <c r="KB5" s="14" t="str">
        <f t="shared" ref="KB5" si="256">TEXT(KB4,"ddd")</f>
        <v>Sun</v>
      </c>
      <c r="KC5" s="14" t="str">
        <f t="shared" ref="KC5" si="257">TEXT(KC4,"ddd")</f>
        <v>Mon</v>
      </c>
      <c r="KD5" s="14" t="str">
        <f t="shared" ref="KD5:KE5" si="258">TEXT(KD4,"ddd")</f>
        <v>Tue</v>
      </c>
      <c r="KE5" s="14" t="str">
        <f t="shared" si="258"/>
        <v>Wed</v>
      </c>
      <c r="KF5" s="14" t="str">
        <f t="shared" ref="KF5" si="259">TEXT(KF4,"ddd")</f>
        <v>Thu</v>
      </c>
      <c r="KG5" s="14" t="str">
        <f t="shared" ref="KG5" si="260">TEXT(KG4,"ddd")</f>
        <v>Fri</v>
      </c>
      <c r="KH5" s="14" t="str">
        <f t="shared" ref="KH5" si="261">TEXT(KH4,"ddd")</f>
        <v>Sat</v>
      </c>
      <c r="KI5" s="14" t="str">
        <f t="shared" ref="KI5" si="262">TEXT(KI4,"ddd")</f>
        <v>Sun</v>
      </c>
      <c r="KJ5" s="14" t="str">
        <f t="shared" ref="KJ5" si="263">TEXT(KJ4,"ddd")</f>
        <v>Mon</v>
      </c>
      <c r="KK5" s="14" t="str">
        <f t="shared" ref="KK5:KL5" si="264">TEXT(KK4,"ddd")</f>
        <v>Tue</v>
      </c>
      <c r="KL5" s="14" t="str">
        <f t="shared" si="264"/>
        <v>Wed</v>
      </c>
      <c r="KM5" s="14" t="str">
        <f t="shared" ref="KM5" si="265">TEXT(KM4,"ddd")</f>
        <v>Thu</v>
      </c>
      <c r="KN5" s="14" t="str">
        <f t="shared" ref="KN5" si="266">TEXT(KN4,"ddd")</f>
        <v>Fri</v>
      </c>
      <c r="KO5" s="14" t="str">
        <f t="shared" ref="KO5" si="267">TEXT(KO4,"ddd")</f>
        <v>Sat</v>
      </c>
      <c r="KP5" s="14" t="str">
        <f t="shared" ref="KP5" si="268">TEXT(KP4,"ddd")</f>
        <v>Sun</v>
      </c>
      <c r="KQ5" s="14" t="str">
        <f t="shared" ref="KQ5" si="269">TEXT(KQ4,"ddd")</f>
        <v>Mon</v>
      </c>
      <c r="KR5" s="14" t="str">
        <f t="shared" ref="KR5:KS5" si="270">TEXT(KR4,"ddd")</f>
        <v>Tue</v>
      </c>
      <c r="KS5" s="14" t="str">
        <f t="shared" si="270"/>
        <v>Wed</v>
      </c>
      <c r="KT5" s="14" t="str">
        <f t="shared" ref="KT5" si="271">TEXT(KT4,"ddd")</f>
        <v>Thu</v>
      </c>
      <c r="KU5" s="14" t="str">
        <f t="shared" ref="KU5" si="272">TEXT(KU4,"ddd")</f>
        <v>Fri</v>
      </c>
      <c r="KV5" s="14" t="str">
        <f t="shared" ref="KV5" si="273">TEXT(KV4,"ddd")</f>
        <v>Sat</v>
      </c>
      <c r="KW5" s="14" t="str">
        <f t="shared" ref="KW5" si="274">TEXT(KW4,"ddd")</f>
        <v>Sun</v>
      </c>
      <c r="KX5" s="14" t="str">
        <f t="shared" ref="KX5" si="275">TEXT(KX4,"ddd")</f>
        <v>Mon</v>
      </c>
      <c r="KY5" s="14" t="str">
        <f t="shared" ref="KY5:KZ5" si="276">TEXT(KY4,"ddd")</f>
        <v>Tue</v>
      </c>
      <c r="KZ5" s="14" t="str">
        <f t="shared" si="276"/>
        <v>Wed</v>
      </c>
      <c r="LA5" s="14" t="str">
        <f t="shared" ref="LA5" si="277">TEXT(LA4,"ddd")</f>
        <v>Thu</v>
      </c>
      <c r="LB5" s="14" t="str">
        <f t="shared" ref="LB5" si="278">TEXT(LB4,"ddd")</f>
        <v>Fri</v>
      </c>
      <c r="LC5" s="14" t="str">
        <f t="shared" ref="LC5" si="279">TEXT(LC4,"ddd")</f>
        <v>Sat</v>
      </c>
      <c r="LD5" s="14" t="str">
        <f t="shared" ref="LD5" si="280">TEXT(LD4,"ddd")</f>
        <v>Sun</v>
      </c>
      <c r="LE5" s="14" t="str">
        <f t="shared" ref="LE5" si="281">TEXT(LE4,"ddd")</f>
        <v>Mon</v>
      </c>
      <c r="LF5" s="14" t="str">
        <f t="shared" ref="LF5:LG5" si="282">TEXT(LF4,"ddd")</f>
        <v>Tue</v>
      </c>
      <c r="LG5" s="14" t="str">
        <f t="shared" si="282"/>
        <v>Wed</v>
      </c>
      <c r="LH5" s="14" t="str">
        <f t="shared" ref="LH5" si="283">TEXT(LH4,"ddd")</f>
        <v>Thu</v>
      </c>
      <c r="LI5" s="14" t="str">
        <f t="shared" ref="LI5" si="284">TEXT(LI4,"ddd")</f>
        <v>Fri</v>
      </c>
      <c r="LJ5" s="14" t="str">
        <f t="shared" ref="LJ5" si="285">TEXT(LJ4,"ddd")</f>
        <v>Sat</v>
      </c>
      <c r="LK5" s="14" t="str">
        <f t="shared" ref="LK5" si="286">TEXT(LK4,"ddd")</f>
        <v>Sun</v>
      </c>
      <c r="LL5" s="14" t="str">
        <f t="shared" ref="LL5" si="287">TEXT(LL4,"ddd")</f>
        <v>Mon</v>
      </c>
      <c r="LM5" s="14" t="str">
        <f t="shared" ref="LM5:LN5" si="288">TEXT(LM4,"ddd")</f>
        <v>Tue</v>
      </c>
      <c r="LN5" s="14" t="str">
        <f t="shared" si="288"/>
        <v>Wed</v>
      </c>
      <c r="LO5" s="14" t="str">
        <f t="shared" ref="LO5" si="289">TEXT(LO4,"ddd")</f>
        <v>Thu</v>
      </c>
      <c r="LP5" s="14" t="str">
        <f t="shared" ref="LP5" si="290">TEXT(LP4,"ddd")</f>
        <v>Fri</v>
      </c>
      <c r="LQ5" s="14" t="str">
        <f t="shared" ref="LQ5" si="291">TEXT(LQ4,"ddd")</f>
        <v>Sat</v>
      </c>
      <c r="LR5" s="14" t="str">
        <f t="shared" ref="LR5" si="292">TEXT(LR4,"ddd")</f>
        <v>Sun</v>
      </c>
      <c r="LS5" s="14" t="str">
        <f t="shared" ref="LS5" si="293">TEXT(LS4,"ddd")</f>
        <v>Mon</v>
      </c>
      <c r="LT5" s="14" t="str">
        <f t="shared" ref="LT5:LU5" si="294">TEXT(LT4,"ddd")</f>
        <v>Tue</v>
      </c>
      <c r="LU5" s="14" t="str">
        <f t="shared" si="294"/>
        <v>Wed</v>
      </c>
      <c r="LV5" s="14" t="str">
        <f t="shared" ref="LV5" si="295">TEXT(LV4,"ddd")</f>
        <v>Thu</v>
      </c>
      <c r="LW5" s="14" t="str">
        <f t="shared" ref="LW5" si="296">TEXT(LW4,"ddd")</f>
        <v>Fri</v>
      </c>
      <c r="LX5" s="14" t="str">
        <f t="shared" ref="LX5" si="297">TEXT(LX4,"ddd")</f>
        <v>Sat</v>
      </c>
      <c r="LY5" s="14" t="str">
        <f t="shared" ref="LY5" si="298">TEXT(LY4,"ddd")</f>
        <v>Sun</v>
      </c>
      <c r="LZ5" s="14" t="str">
        <f t="shared" ref="LZ5" si="299">TEXT(LZ4,"ddd")</f>
        <v>Mon</v>
      </c>
      <c r="MA5" s="14" t="str">
        <f t="shared" ref="MA5:MB5" si="300">TEXT(MA4,"ddd")</f>
        <v>Tue</v>
      </c>
      <c r="MB5" s="14" t="str">
        <f t="shared" si="300"/>
        <v>Wed</v>
      </c>
      <c r="MC5" s="14" t="str">
        <f t="shared" ref="MC5" si="301">TEXT(MC4,"ddd")</f>
        <v>Thu</v>
      </c>
      <c r="MD5" s="14" t="str">
        <f t="shared" ref="MD5" si="302">TEXT(MD4,"ddd")</f>
        <v>Fri</v>
      </c>
      <c r="ME5" s="14" t="str">
        <f t="shared" ref="ME5" si="303">TEXT(ME4,"ddd")</f>
        <v>Sat</v>
      </c>
      <c r="MF5" s="14" t="str">
        <f t="shared" ref="MF5" si="304">TEXT(MF4,"ddd")</f>
        <v>Sun</v>
      </c>
      <c r="MG5" s="14" t="str">
        <f t="shared" ref="MG5" si="305">TEXT(MG4,"ddd")</f>
        <v>Mon</v>
      </c>
      <c r="MH5" s="14" t="str">
        <f t="shared" ref="MH5:MI5" si="306">TEXT(MH4,"ddd")</f>
        <v>Tue</v>
      </c>
      <c r="MI5" s="14" t="str">
        <f t="shared" si="306"/>
        <v>Wed</v>
      </c>
      <c r="MJ5" s="14" t="str">
        <f t="shared" ref="MJ5" si="307">TEXT(MJ4,"ddd")</f>
        <v>Thu</v>
      </c>
      <c r="MK5" s="14" t="str">
        <f t="shared" ref="MK5" si="308">TEXT(MK4,"ddd")</f>
        <v>Fri</v>
      </c>
      <c r="ML5" s="14" t="str">
        <f t="shared" ref="ML5" si="309">TEXT(ML4,"ddd")</f>
        <v>Sat</v>
      </c>
      <c r="MM5" s="14" t="str">
        <f t="shared" ref="MM5" si="310">TEXT(MM4,"ddd")</f>
        <v>Sun</v>
      </c>
      <c r="MN5" s="14" t="str">
        <f t="shared" ref="MN5" si="311">TEXT(MN4,"ddd")</f>
        <v>Mon</v>
      </c>
      <c r="MO5" s="14" t="str">
        <f t="shared" ref="MO5:MP5" si="312">TEXT(MO4,"ddd")</f>
        <v>Tue</v>
      </c>
      <c r="MP5" s="14" t="str">
        <f t="shared" si="312"/>
        <v>Wed</v>
      </c>
      <c r="MQ5" s="14" t="str">
        <f t="shared" ref="MQ5" si="313">TEXT(MQ4,"ddd")</f>
        <v>Thu</v>
      </c>
      <c r="MR5" s="14" t="str">
        <f t="shared" ref="MR5" si="314">TEXT(MR4,"ddd")</f>
        <v>Fri</v>
      </c>
      <c r="MS5" s="14" t="str">
        <f t="shared" ref="MS5" si="315">TEXT(MS4,"ddd")</f>
        <v>Sat</v>
      </c>
      <c r="MT5" s="14" t="str">
        <f t="shared" ref="MT5" si="316">TEXT(MT4,"ddd")</f>
        <v>Sun</v>
      </c>
      <c r="MU5" s="14" t="str">
        <f t="shared" ref="MU5" si="317">TEXT(MU4,"ddd")</f>
        <v>Mon</v>
      </c>
      <c r="MV5" s="14" t="str">
        <f t="shared" ref="MV5:MW5" si="318">TEXT(MV4,"ddd")</f>
        <v>Tue</v>
      </c>
      <c r="MW5" s="14" t="str">
        <f t="shared" si="318"/>
        <v>Wed</v>
      </c>
      <c r="MX5" s="14" t="str">
        <f t="shared" ref="MX5" si="319">TEXT(MX4,"ddd")</f>
        <v>Thu</v>
      </c>
      <c r="MY5" s="14" t="str">
        <f t="shared" ref="MY5" si="320">TEXT(MY4,"ddd")</f>
        <v>Fri</v>
      </c>
      <c r="MZ5" s="14" t="str">
        <f t="shared" ref="MZ5" si="321">TEXT(MZ4,"ddd")</f>
        <v>Sat</v>
      </c>
      <c r="NA5" s="14" t="str">
        <f t="shared" ref="NA5" si="322">TEXT(NA4,"ddd")</f>
        <v>Sun</v>
      </c>
      <c r="NB5" s="14" t="str">
        <f t="shared" ref="NB5" si="323">TEXT(NB4,"ddd")</f>
        <v>Mon</v>
      </c>
      <c r="NC5" s="14" t="str">
        <f t="shared" ref="NC5:ND5" si="324">TEXT(NC4,"ddd")</f>
        <v>Tue</v>
      </c>
      <c r="ND5" s="14" t="str">
        <f t="shared" si="324"/>
        <v>Wed</v>
      </c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</row>
    <row r="6" spans="1:421" ht="21.75" customHeight="1" x14ac:dyDescent="0.3">
      <c r="A6" s="19" t="s">
        <v>44</v>
      </c>
      <c r="B6" s="18" t="s">
        <v>45</v>
      </c>
      <c r="C6" s="6" t="s">
        <v>207</v>
      </c>
      <c r="D6" s="11"/>
      <c r="E6" s="11" t="s">
        <v>208</v>
      </c>
      <c r="F6" s="11" t="s">
        <v>208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</row>
    <row r="7" spans="1:421" ht="21.75" customHeight="1" x14ac:dyDescent="0.3">
      <c r="A7" s="18" t="s">
        <v>44</v>
      </c>
      <c r="B7" s="18" t="s">
        <v>46</v>
      </c>
      <c r="C7" s="6" t="s">
        <v>207</v>
      </c>
      <c r="D7" s="11"/>
      <c r="E7" s="11"/>
      <c r="F7" s="11"/>
      <c r="G7" s="11" t="s">
        <v>208</v>
      </c>
      <c r="H7" s="11"/>
      <c r="I7" s="11" t="s">
        <v>208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</row>
    <row r="8" spans="1:421" ht="21.75" customHeight="1" x14ac:dyDescent="0.3">
      <c r="A8" s="18" t="s">
        <v>44</v>
      </c>
      <c r="B8" s="18" t="s">
        <v>48</v>
      </c>
      <c r="C8" s="6" t="s">
        <v>207</v>
      </c>
      <c r="D8" s="11"/>
      <c r="E8" s="11"/>
      <c r="F8" s="11"/>
      <c r="G8" s="11"/>
      <c r="H8" s="11"/>
      <c r="I8" s="11"/>
      <c r="J8" s="11" t="s">
        <v>208</v>
      </c>
      <c r="K8" s="11" t="s">
        <v>208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</row>
    <row r="9" spans="1:421" ht="21.75" customHeight="1" x14ac:dyDescent="0.3">
      <c r="A9" s="18" t="s">
        <v>47</v>
      </c>
      <c r="B9" s="18" t="s">
        <v>49</v>
      </c>
      <c r="C9" s="6" t="s">
        <v>207</v>
      </c>
      <c r="D9" s="11"/>
      <c r="E9" s="11"/>
      <c r="F9" s="11"/>
      <c r="G9" s="11"/>
      <c r="H9" s="11"/>
      <c r="I9" s="11"/>
      <c r="J9" s="11"/>
      <c r="K9" s="11"/>
      <c r="L9" s="11" t="s">
        <v>208</v>
      </c>
      <c r="M9" s="11" t="s">
        <v>208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</row>
    <row r="10" spans="1:421" ht="21.75" customHeight="1" x14ac:dyDescent="0.3">
      <c r="A10" s="18" t="s">
        <v>47</v>
      </c>
      <c r="B10" s="18" t="s">
        <v>50</v>
      </c>
      <c r="C10" s="6" t="s">
        <v>207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 t="s">
        <v>208</v>
      </c>
      <c r="O10" s="11"/>
      <c r="P10" s="11" t="s">
        <v>208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</row>
    <row r="11" spans="1:421" ht="21.75" customHeight="1" x14ac:dyDescent="0.3">
      <c r="A11" s="18" t="s">
        <v>47</v>
      </c>
      <c r="B11" s="18" t="s">
        <v>51</v>
      </c>
      <c r="C11" s="6" t="s">
        <v>207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208</v>
      </c>
      <c r="R11" s="11" t="s">
        <v>208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</row>
    <row r="12" spans="1:421" ht="21.75" customHeight="1" x14ac:dyDescent="0.3">
      <c r="A12" s="18" t="s">
        <v>52</v>
      </c>
      <c r="B12" s="18" t="s">
        <v>53</v>
      </c>
      <c r="C12" s="6" t="s">
        <v>207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 t="s">
        <v>208</v>
      </c>
      <c r="T12" s="11" t="s">
        <v>208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</row>
    <row r="13" spans="1:421" ht="21.75" customHeight="1" x14ac:dyDescent="0.3">
      <c r="A13" s="18" t="s">
        <v>52</v>
      </c>
      <c r="B13" s="18" t="s">
        <v>54</v>
      </c>
      <c r="C13" s="6" t="s">
        <v>207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208</v>
      </c>
      <c r="V13" s="11"/>
      <c r="W13" s="11" t="s">
        <v>208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</row>
    <row r="14" spans="1:421" ht="21.75" customHeight="1" x14ac:dyDescent="0.3">
      <c r="A14" s="18" t="s">
        <v>52</v>
      </c>
      <c r="B14" s="18" t="s">
        <v>55</v>
      </c>
      <c r="C14" s="6" t="s">
        <v>207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 t="s">
        <v>208</v>
      </c>
      <c r="Y14" s="11" t="s">
        <v>208</v>
      </c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</row>
    <row r="15" spans="1:421" ht="21.75" customHeight="1" x14ac:dyDescent="0.3">
      <c r="A15" s="18" t="s">
        <v>56</v>
      </c>
      <c r="B15" s="18" t="s">
        <v>57</v>
      </c>
      <c r="C15" s="6" t="s">
        <v>207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 t="s">
        <v>208</v>
      </c>
      <c r="AA15" s="11" t="s">
        <v>208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</row>
    <row r="16" spans="1:421" ht="21.75" customHeight="1" x14ac:dyDescent="0.3">
      <c r="A16" s="18" t="s">
        <v>56</v>
      </c>
      <c r="B16" s="18" t="s">
        <v>58</v>
      </c>
      <c r="C16" s="6" t="s">
        <v>207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 t="s">
        <v>208</v>
      </c>
      <c r="AC16" s="11"/>
      <c r="AD16" s="11" t="s">
        <v>208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</row>
    <row r="17" spans="1:368" ht="21.75" customHeight="1" x14ac:dyDescent="0.3">
      <c r="A17" s="4" t="s">
        <v>192</v>
      </c>
      <c r="B17" s="4" t="s">
        <v>193</v>
      </c>
      <c r="C17" s="6" t="s">
        <v>207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 t="s">
        <v>208</v>
      </c>
      <c r="AF17" s="11" t="s">
        <v>208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</row>
    <row r="18" spans="1:368" ht="21.75" customHeight="1" x14ac:dyDescent="0.3">
      <c r="A18" s="4" t="s">
        <v>192</v>
      </c>
      <c r="B18" s="4" t="s">
        <v>194</v>
      </c>
      <c r="C18" s="6" t="s">
        <v>207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 t="s">
        <v>208</v>
      </c>
      <c r="AH18" s="11" t="s">
        <v>208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</row>
    <row r="19" spans="1:368" ht="21.75" customHeight="1" x14ac:dyDescent="0.3">
      <c r="A19" s="4" t="s">
        <v>192</v>
      </c>
      <c r="B19" s="4" t="s">
        <v>195</v>
      </c>
      <c r="C19" s="6" t="s">
        <v>207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 t="s">
        <v>208</v>
      </c>
      <c r="AJ19" s="11"/>
      <c r="AK19" s="11" t="s">
        <v>208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</row>
    <row r="20" spans="1:368" ht="21.75" customHeight="1" x14ac:dyDescent="0.3">
      <c r="A20" s="4" t="s">
        <v>192</v>
      </c>
      <c r="B20" s="4" t="s">
        <v>196</v>
      </c>
      <c r="C20" s="6" t="s">
        <v>207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 t="s">
        <v>208</v>
      </c>
      <c r="AM20" s="11" t="s">
        <v>208</v>
      </c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</row>
    <row r="21" spans="1:368" ht="21.75" customHeight="1" x14ac:dyDescent="0.3">
      <c r="A21" s="4" t="s">
        <v>192</v>
      </c>
      <c r="B21" s="4" t="s">
        <v>197</v>
      </c>
      <c r="C21" s="6" t="s">
        <v>207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208</v>
      </c>
      <c r="AO21" s="11" t="s">
        <v>208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</row>
    <row r="22" spans="1:368" ht="21.75" customHeight="1" x14ac:dyDescent="0.3">
      <c r="A22" s="4" t="s">
        <v>192</v>
      </c>
      <c r="B22" s="4" t="s">
        <v>198</v>
      </c>
      <c r="C22" s="6" t="s">
        <v>207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 t="s">
        <v>208</v>
      </c>
      <c r="AQ22" s="11"/>
      <c r="AR22" s="11" t="s">
        <v>208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</row>
    <row r="23" spans="1:368" ht="21.75" customHeight="1" x14ac:dyDescent="0.3">
      <c r="A23" s="4" t="s">
        <v>199</v>
      </c>
      <c r="B23" s="4" t="s">
        <v>200</v>
      </c>
      <c r="C23" s="6" t="s">
        <v>207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 t="s">
        <v>208</v>
      </c>
      <c r="AT23" s="11" t="s">
        <v>208</v>
      </c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</row>
    <row r="24" spans="1:368" ht="21.75" customHeight="1" x14ac:dyDescent="0.3">
      <c r="A24" s="4" t="s">
        <v>192</v>
      </c>
      <c r="B24" s="4" t="s">
        <v>201</v>
      </c>
      <c r="C24" s="6" t="s">
        <v>207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 t="s">
        <v>208</v>
      </c>
      <c r="AV24" s="11" t="s">
        <v>208</v>
      </c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</row>
    <row r="25" spans="1:368" ht="21.75" customHeight="1" x14ac:dyDescent="0.3">
      <c r="A25" s="4" t="s">
        <v>199</v>
      </c>
      <c r="B25" s="4" t="s">
        <v>202</v>
      </c>
      <c r="C25" s="6" t="s">
        <v>207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 t="s">
        <v>208</v>
      </c>
      <c r="AX25" s="11"/>
      <c r="AY25" s="11" t="s">
        <v>208</v>
      </c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</row>
    <row r="26" spans="1:368" ht="21.75" customHeight="1" x14ac:dyDescent="0.3">
      <c r="A26" s="18" t="s">
        <v>209</v>
      </c>
      <c r="B26" s="4" t="s">
        <v>18</v>
      </c>
      <c r="C26" s="6" t="s">
        <v>207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 t="s">
        <v>208</v>
      </c>
      <c r="BA26" s="11" t="s">
        <v>208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</row>
    <row r="27" spans="1:368" ht="21.75" customHeight="1" x14ac:dyDescent="0.3">
      <c r="A27" s="18" t="s">
        <v>209</v>
      </c>
      <c r="B27" s="4" t="s">
        <v>19</v>
      </c>
      <c r="C27" s="6" t="s">
        <v>207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 t="s">
        <v>208</v>
      </c>
      <c r="BC27" s="11" t="s">
        <v>208</v>
      </c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</row>
    <row r="28" spans="1:368" ht="21.75" customHeight="1" x14ac:dyDescent="0.3">
      <c r="A28" s="18" t="s">
        <v>209</v>
      </c>
      <c r="B28" s="4" t="s">
        <v>20</v>
      </c>
      <c r="C28" s="6" t="s">
        <v>207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 t="s">
        <v>208</v>
      </c>
      <c r="BE28" s="11"/>
      <c r="BF28" s="11" t="s">
        <v>208</v>
      </c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</row>
    <row r="29" spans="1:368" ht="21.75" customHeight="1" x14ac:dyDescent="0.3">
      <c r="A29" s="18" t="s">
        <v>209</v>
      </c>
      <c r="B29" s="4" t="s">
        <v>21</v>
      </c>
      <c r="C29" s="6" t="s">
        <v>207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 t="s">
        <v>208</v>
      </c>
      <c r="BH29" s="11" t="s">
        <v>208</v>
      </c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</row>
    <row r="30" spans="1:368" ht="21.75" customHeight="1" x14ac:dyDescent="0.3">
      <c r="A30" s="18" t="s">
        <v>209</v>
      </c>
      <c r="B30" s="4" t="s">
        <v>22</v>
      </c>
      <c r="C30" s="6" t="s">
        <v>207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 t="s">
        <v>208</v>
      </c>
      <c r="BJ30" s="11" t="s">
        <v>208</v>
      </c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</row>
    <row r="31" spans="1:368" ht="21.75" customHeight="1" x14ac:dyDescent="0.3">
      <c r="A31" s="18" t="s">
        <v>209</v>
      </c>
      <c r="B31" s="4" t="s">
        <v>23</v>
      </c>
      <c r="C31" s="6" t="s">
        <v>207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 t="s">
        <v>208</v>
      </c>
      <c r="BL31" s="11"/>
      <c r="BM31" s="11" t="s">
        <v>208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</row>
    <row r="32" spans="1:368" ht="21.75" customHeight="1" x14ac:dyDescent="0.3">
      <c r="A32" s="18" t="s">
        <v>209</v>
      </c>
      <c r="B32" s="4" t="s">
        <v>24</v>
      </c>
      <c r="C32" s="6" t="s">
        <v>207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 t="s">
        <v>208</v>
      </c>
      <c r="BO32" s="11" t="s">
        <v>208</v>
      </c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</row>
    <row r="33" spans="1:368" ht="21.75" customHeight="1" x14ac:dyDescent="0.3">
      <c r="A33" s="18" t="s">
        <v>209</v>
      </c>
      <c r="B33" s="4" t="s">
        <v>25</v>
      </c>
      <c r="C33" s="6" t="s">
        <v>207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 t="s">
        <v>208</v>
      </c>
      <c r="BQ33" s="11" t="s">
        <v>208</v>
      </c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</row>
    <row r="34" spans="1:368" ht="21.75" customHeight="1" x14ac:dyDescent="0.3">
      <c r="A34" s="18" t="s">
        <v>209</v>
      </c>
      <c r="B34" s="4" t="s">
        <v>26</v>
      </c>
      <c r="C34" s="6" t="s">
        <v>207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 t="s">
        <v>208</v>
      </c>
      <c r="BS34" s="11"/>
      <c r="BT34" s="11" t="s">
        <v>208</v>
      </c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</row>
    <row r="35" spans="1:368" ht="21.75" customHeight="1" x14ac:dyDescent="0.3">
      <c r="A35" s="18" t="s">
        <v>209</v>
      </c>
      <c r="B35" s="4" t="s">
        <v>27</v>
      </c>
      <c r="C35" s="6" t="s">
        <v>207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 t="s">
        <v>208</v>
      </c>
      <c r="BV35" s="11" t="s">
        <v>208</v>
      </c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</row>
    <row r="36" spans="1:368" ht="21.75" customHeight="1" x14ac:dyDescent="0.3">
      <c r="A36" s="18" t="s">
        <v>209</v>
      </c>
      <c r="B36" s="4" t="s">
        <v>28</v>
      </c>
      <c r="C36" s="6" t="s">
        <v>207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 t="s">
        <v>208</v>
      </c>
      <c r="BX36" s="11" t="s">
        <v>208</v>
      </c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</row>
    <row r="37" spans="1:368" ht="21.75" customHeight="1" x14ac:dyDescent="0.3">
      <c r="A37" s="18" t="s">
        <v>209</v>
      </c>
      <c r="B37" s="4" t="s">
        <v>29</v>
      </c>
      <c r="C37" s="6" t="s">
        <v>207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 t="s">
        <v>208</v>
      </c>
      <c r="BZ37" s="11"/>
      <c r="CA37" s="11" t="s">
        <v>208</v>
      </c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</row>
    <row r="38" spans="1:368" ht="21.75" customHeight="1" x14ac:dyDescent="0.3">
      <c r="A38" s="18" t="s">
        <v>209</v>
      </c>
      <c r="B38" s="4" t="s">
        <v>30</v>
      </c>
      <c r="C38" s="6" t="s">
        <v>207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 t="s">
        <v>208</v>
      </c>
      <c r="CC38" s="11" t="s">
        <v>208</v>
      </c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</row>
    <row r="39" spans="1:368" ht="21.75" customHeight="1" x14ac:dyDescent="0.3">
      <c r="A39" s="18" t="s">
        <v>209</v>
      </c>
      <c r="B39" s="4" t="s">
        <v>31</v>
      </c>
      <c r="C39" s="6" t="s">
        <v>207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 t="s">
        <v>208</v>
      </c>
      <c r="CE39" s="11" t="s">
        <v>208</v>
      </c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</row>
    <row r="40" spans="1:368" ht="21.75" customHeight="1" x14ac:dyDescent="0.3">
      <c r="A40" s="18" t="s">
        <v>209</v>
      </c>
      <c r="B40" s="4" t="s">
        <v>32</v>
      </c>
      <c r="C40" s="6" t="s">
        <v>207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 t="s">
        <v>208</v>
      </c>
      <c r="CG40" s="11"/>
      <c r="CH40" s="11" t="s">
        <v>208</v>
      </c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</row>
    <row r="41" spans="1:368" ht="21.75" customHeight="1" x14ac:dyDescent="0.3">
      <c r="A41" s="18" t="s">
        <v>209</v>
      </c>
      <c r="B41" s="4" t="s">
        <v>33</v>
      </c>
      <c r="C41" s="6" t="s">
        <v>207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 t="s">
        <v>208</v>
      </c>
      <c r="CJ41" s="11" t="s">
        <v>208</v>
      </c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</row>
    <row r="42" spans="1:368" ht="21.75" customHeight="1" x14ac:dyDescent="0.3">
      <c r="A42" s="18" t="s">
        <v>209</v>
      </c>
      <c r="B42" s="4" t="s">
        <v>34</v>
      </c>
      <c r="C42" s="6" t="s">
        <v>207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 t="s">
        <v>208</v>
      </c>
      <c r="CL42" s="11" t="s">
        <v>208</v>
      </c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</row>
    <row r="43" spans="1:368" ht="21.75" customHeight="1" x14ac:dyDescent="0.3">
      <c r="A43" s="18" t="s">
        <v>209</v>
      </c>
      <c r="B43" s="4" t="s">
        <v>35</v>
      </c>
      <c r="C43" s="6" t="s">
        <v>207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 t="s">
        <v>208</v>
      </c>
      <c r="CN43" s="11"/>
      <c r="CO43" s="11" t="s">
        <v>208</v>
      </c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</row>
    <row r="44" spans="1:368" ht="21.75" customHeight="1" x14ac:dyDescent="0.3">
      <c r="A44" s="18" t="s">
        <v>209</v>
      </c>
      <c r="B44" s="4" t="s">
        <v>36</v>
      </c>
      <c r="C44" s="6" t="s">
        <v>207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 t="s">
        <v>208</v>
      </c>
      <c r="CQ44" s="11" t="s">
        <v>208</v>
      </c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</row>
    <row r="45" spans="1:368" ht="21.75" customHeight="1" x14ac:dyDescent="0.3">
      <c r="A45" s="18" t="s">
        <v>209</v>
      </c>
      <c r="B45" s="4" t="s">
        <v>37</v>
      </c>
      <c r="C45" s="6" t="s">
        <v>207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 t="s">
        <v>208</v>
      </c>
      <c r="CS45" s="11" t="s">
        <v>208</v>
      </c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</row>
    <row r="46" spans="1:368" ht="21.75" customHeight="1" x14ac:dyDescent="0.3">
      <c r="A46" s="18" t="s">
        <v>209</v>
      </c>
      <c r="B46" s="4" t="s">
        <v>38</v>
      </c>
      <c r="C46" s="6" t="s">
        <v>207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 t="s">
        <v>208</v>
      </c>
      <c r="CU46" s="11"/>
      <c r="CV46" s="11" t="s">
        <v>208</v>
      </c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</row>
    <row r="47" spans="1:368" ht="21.75" customHeight="1" x14ac:dyDescent="0.3">
      <c r="A47" s="18" t="s">
        <v>209</v>
      </c>
      <c r="B47" s="4" t="s">
        <v>39</v>
      </c>
      <c r="C47" s="6" t="s">
        <v>207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 t="s">
        <v>208</v>
      </c>
      <c r="CX47" s="11" t="s">
        <v>208</v>
      </c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</row>
    <row r="48" spans="1:368" ht="21.75" customHeight="1" x14ac:dyDescent="0.3">
      <c r="A48" s="18" t="s">
        <v>209</v>
      </c>
      <c r="B48" s="4" t="s">
        <v>40</v>
      </c>
      <c r="C48" s="6" t="s">
        <v>207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 t="s">
        <v>208</v>
      </c>
      <c r="CZ48" s="11" t="s">
        <v>208</v>
      </c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</row>
    <row r="49" spans="1:368" ht="21.75" customHeight="1" x14ac:dyDescent="0.3">
      <c r="A49" s="18" t="s">
        <v>209</v>
      </c>
      <c r="B49" s="4" t="s">
        <v>41</v>
      </c>
      <c r="C49" s="6" t="s">
        <v>207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 t="s">
        <v>208</v>
      </c>
      <c r="DB49" s="11"/>
      <c r="DC49" s="11" t="s">
        <v>208</v>
      </c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</row>
    <row r="50" spans="1:368" ht="21.75" customHeight="1" x14ac:dyDescent="0.3">
      <c r="A50" s="18" t="s">
        <v>209</v>
      </c>
      <c r="B50" s="4" t="s">
        <v>42</v>
      </c>
      <c r="C50" s="6" t="s">
        <v>207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</row>
    <row r="51" spans="1:368" ht="21.75" customHeight="1" x14ac:dyDescent="0.3">
      <c r="A51" s="18" t="s">
        <v>209</v>
      </c>
      <c r="B51" s="4" t="s">
        <v>43</v>
      </c>
      <c r="C51" s="6" t="s">
        <v>207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</row>
    <row r="52" spans="1:368" ht="21.75" customHeight="1" x14ac:dyDescent="0.3">
      <c r="A52" s="18" t="s">
        <v>210</v>
      </c>
      <c r="B52" s="4" t="s">
        <v>211</v>
      </c>
      <c r="C52" s="6" t="s">
        <v>207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</row>
    <row r="53" spans="1:368" ht="21.75" customHeight="1" x14ac:dyDescent="0.3">
      <c r="A53" s="18" t="s">
        <v>210</v>
      </c>
      <c r="B53" s="4" t="s">
        <v>212</v>
      </c>
      <c r="C53" s="6" t="s">
        <v>207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</row>
    <row r="54" spans="1:368" ht="21.75" customHeight="1" x14ac:dyDescent="0.3">
      <c r="A54" s="18" t="s">
        <v>210</v>
      </c>
      <c r="B54" s="4" t="s">
        <v>213</v>
      </c>
      <c r="C54" s="6" t="s">
        <v>207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</row>
    <row r="55" spans="1:368" ht="21.75" customHeight="1" x14ac:dyDescent="0.3">
      <c r="A55" s="18" t="s">
        <v>210</v>
      </c>
      <c r="B55" s="4" t="s">
        <v>214</v>
      </c>
      <c r="C55" s="6" t="s">
        <v>207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</row>
    <row r="56" spans="1:368" ht="21.75" customHeight="1" x14ac:dyDescent="0.3">
      <c r="A56" s="18" t="s">
        <v>210</v>
      </c>
      <c r="B56" s="4" t="s">
        <v>215</v>
      </c>
      <c r="C56" s="6" t="s">
        <v>207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</row>
    <row r="57" spans="1:368" ht="21.75" customHeight="1" x14ac:dyDescent="0.3">
      <c r="A57" s="18" t="s">
        <v>210</v>
      </c>
      <c r="B57" s="4" t="s">
        <v>216</v>
      </c>
      <c r="C57" s="6" t="s">
        <v>207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</row>
    <row r="58" spans="1:368" ht="21.75" customHeight="1" x14ac:dyDescent="0.3">
      <c r="A58" s="18" t="s">
        <v>210</v>
      </c>
      <c r="B58" s="4" t="s">
        <v>217</v>
      </c>
      <c r="C58" s="6" t="s">
        <v>207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</row>
    <row r="59" spans="1:368" ht="21.75" customHeight="1" x14ac:dyDescent="0.3">
      <c r="A59" s="18" t="s">
        <v>210</v>
      </c>
      <c r="B59" s="4" t="s">
        <v>218</v>
      </c>
      <c r="C59" s="6" t="s">
        <v>207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</row>
    <row r="60" spans="1:368" ht="21.75" customHeight="1" x14ac:dyDescent="0.3">
      <c r="A60" s="18" t="s">
        <v>117</v>
      </c>
      <c r="B60" s="4" t="s">
        <v>118</v>
      </c>
      <c r="C60" s="6" t="s">
        <v>207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</row>
    <row r="61" spans="1:368" ht="21.75" customHeight="1" x14ac:dyDescent="0.3">
      <c r="A61" s="18" t="s">
        <v>117</v>
      </c>
      <c r="B61" s="4" t="s">
        <v>119</v>
      </c>
      <c r="C61" s="6" t="s">
        <v>207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</row>
    <row r="62" spans="1:368" ht="21.75" customHeight="1" x14ac:dyDescent="0.3">
      <c r="A62" s="18" t="s">
        <v>117</v>
      </c>
      <c r="B62" s="4" t="s">
        <v>120</v>
      </c>
      <c r="C62" s="6" t="s">
        <v>207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</row>
    <row r="63" spans="1:368" ht="21.75" customHeight="1" x14ac:dyDescent="0.3">
      <c r="A63" s="18" t="s">
        <v>117</v>
      </c>
      <c r="B63" s="4" t="s">
        <v>121</v>
      </c>
      <c r="C63" s="6" t="s">
        <v>207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</row>
    <row r="64" spans="1:368" ht="21.75" customHeight="1" x14ac:dyDescent="0.3">
      <c r="A64" s="18" t="s">
        <v>117</v>
      </c>
      <c r="B64" s="4" t="s">
        <v>122</v>
      </c>
      <c r="C64" s="6" t="s">
        <v>207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</row>
    <row r="65" spans="1:368" ht="21.75" customHeight="1" x14ac:dyDescent="0.3">
      <c r="A65" s="18" t="s">
        <v>117</v>
      </c>
      <c r="B65" s="4" t="s">
        <v>123</v>
      </c>
      <c r="C65" s="6" t="s">
        <v>207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</row>
    <row r="66" spans="1:368" ht="21.75" customHeight="1" x14ac:dyDescent="0.3">
      <c r="A66" s="18" t="s">
        <v>117</v>
      </c>
      <c r="B66" s="4" t="s">
        <v>124</v>
      </c>
      <c r="C66" s="6" t="s">
        <v>207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</row>
    <row r="67" spans="1:368" ht="21.75" customHeight="1" x14ac:dyDescent="0.3">
      <c r="A67" s="18" t="s">
        <v>117</v>
      </c>
      <c r="B67" s="4" t="s">
        <v>125</v>
      </c>
      <c r="C67" s="6" t="s">
        <v>207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</row>
    <row r="68" spans="1:368" ht="21.75" customHeight="1" x14ac:dyDescent="0.3">
      <c r="A68" s="18" t="s">
        <v>117</v>
      </c>
      <c r="B68" s="4" t="s">
        <v>126</v>
      </c>
      <c r="C68" s="6" t="s">
        <v>207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</row>
    <row r="69" spans="1:368" ht="21.75" customHeight="1" x14ac:dyDescent="0.3">
      <c r="A69" s="18" t="s">
        <v>117</v>
      </c>
      <c r="B69" s="4" t="s">
        <v>127</v>
      </c>
      <c r="C69" s="6" t="s">
        <v>207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</row>
    <row r="70" spans="1:368" ht="21.75" customHeight="1" x14ac:dyDescent="0.3">
      <c r="A70" s="18" t="s">
        <v>117</v>
      </c>
      <c r="B70" s="4" t="s">
        <v>128</v>
      </c>
      <c r="C70" s="6" t="s">
        <v>207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</row>
    <row r="71" spans="1:368" ht="21.75" customHeight="1" x14ac:dyDescent="0.3">
      <c r="A71" s="18" t="s">
        <v>117</v>
      </c>
      <c r="B71" s="4" t="s">
        <v>129</v>
      </c>
      <c r="C71" s="6" t="s">
        <v>207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</row>
    <row r="72" spans="1:368" ht="21.75" customHeight="1" x14ac:dyDescent="0.3">
      <c r="A72" s="18" t="s">
        <v>117</v>
      </c>
      <c r="B72" s="4" t="s">
        <v>130</v>
      </c>
      <c r="C72" s="6" t="s">
        <v>207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</row>
    <row r="73" spans="1:368" ht="21.75" customHeight="1" x14ac:dyDescent="0.3">
      <c r="A73" s="18" t="s">
        <v>117</v>
      </c>
      <c r="B73" s="4" t="s">
        <v>131</v>
      </c>
      <c r="C73" s="6" t="s">
        <v>207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</row>
    <row r="74" spans="1:368" ht="21.75" customHeight="1" x14ac:dyDescent="0.3">
      <c r="A74" s="18" t="s">
        <v>117</v>
      </c>
      <c r="B74" s="4" t="s">
        <v>132</v>
      </c>
      <c r="C74" s="6" t="s">
        <v>207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</row>
    <row r="75" spans="1:368" ht="21.75" customHeight="1" x14ac:dyDescent="0.3">
      <c r="A75" s="18" t="s">
        <v>117</v>
      </c>
      <c r="B75" s="4" t="s">
        <v>133</v>
      </c>
      <c r="C75" s="6" t="s">
        <v>207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</row>
    <row r="76" spans="1:368" ht="21.75" customHeight="1" x14ac:dyDescent="0.3">
      <c r="A76" s="18" t="s">
        <v>117</v>
      </c>
      <c r="B76" s="4" t="s">
        <v>134</v>
      </c>
      <c r="C76" s="6" t="s">
        <v>207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</row>
    <row r="77" spans="1:368" ht="21.75" customHeight="1" x14ac:dyDescent="0.3">
      <c r="A77" s="18" t="s">
        <v>117</v>
      </c>
      <c r="B77" s="4" t="s">
        <v>135</v>
      </c>
      <c r="C77" s="6" t="s">
        <v>207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</row>
    <row r="78" spans="1:368" ht="21.75" customHeight="1" x14ac:dyDescent="0.3">
      <c r="A78" s="18" t="s">
        <v>117</v>
      </c>
      <c r="B78" s="4" t="s">
        <v>136</v>
      </c>
      <c r="C78" s="6" t="s">
        <v>207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</row>
    <row r="79" spans="1:368" ht="21.75" customHeight="1" x14ac:dyDescent="0.3">
      <c r="A79" s="18" t="s">
        <v>117</v>
      </c>
      <c r="B79" s="4" t="s">
        <v>137</v>
      </c>
      <c r="C79" s="6" t="s">
        <v>207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</row>
    <row r="80" spans="1:368" ht="21.75" customHeight="1" x14ac:dyDescent="0.3">
      <c r="A80" s="18" t="s">
        <v>117</v>
      </c>
      <c r="B80" s="4" t="s">
        <v>138</v>
      </c>
      <c r="C80" s="6" t="s">
        <v>207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</row>
    <row r="81" spans="1:368" ht="21.75" customHeight="1" x14ac:dyDescent="0.3">
      <c r="A81" s="18" t="s">
        <v>117</v>
      </c>
      <c r="B81" s="4" t="s">
        <v>139</v>
      </c>
      <c r="C81" s="6" t="s">
        <v>207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</row>
    <row r="82" spans="1:368" ht="21.75" customHeight="1" x14ac:dyDescent="0.3">
      <c r="A82" s="18" t="s">
        <v>117</v>
      </c>
      <c r="B82" s="4" t="s">
        <v>140</v>
      </c>
      <c r="C82" s="6" t="s">
        <v>207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</row>
    <row r="83" spans="1:368" ht="21.75" customHeight="1" x14ac:dyDescent="0.3">
      <c r="A83" s="18" t="s">
        <v>117</v>
      </c>
      <c r="B83" s="4" t="s">
        <v>141</v>
      </c>
      <c r="C83" s="6" t="s">
        <v>207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</row>
    <row r="84" spans="1:368" ht="21.75" customHeight="1" x14ac:dyDescent="0.3">
      <c r="A84" s="18" t="s">
        <v>117</v>
      </c>
      <c r="B84" s="4" t="s">
        <v>142</v>
      </c>
      <c r="C84" s="6" t="s">
        <v>207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</row>
    <row r="85" spans="1:368" ht="21.75" customHeight="1" x14ac:dyDescent="0.3">
      <c r="A85" s="18" t="s">
        <v>117</v>
      </c>
      <c r="B85" s="4" t="s">
        <v>143</v>
      </c>
      <c r="C85" s="6" t="s">
        <v>207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</row>
    <row r="86" spans="1:368" ht="21.75" customHeight="1" x14ac:dyDescent="0.3">
      <c r="A86" s="18" t="s">
        <v>117</v>
      </c>
      <c r="B86" s="4" t="s">
        <v>144</v>
      </c>
      <c r="C86" s="6" t="s">
        <v>207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</row>
    <row r="87" spans="1:368" ht="21.75" customHeight="1" x14ac:dyDescent="0.3">
      <c r="A87" s="18" t="s">
        <v>117</v>
      </c>
      <c r="B87" s="4" t="s">
        <v>145</v>
      </c>
      <c r="C87" s="6" t="s">
        <v>207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</row>
    <row r="88" spans="1:368" ht="21.75" customHeight="1" x14ac:dyDescent="0.3">
      <c r="A88" s="18" t="s">
        <v>117</v>
      </c>
      <c r="B88" s="4" t="s">
        <v>146</v>
      </c>
      <c r="C88" s="6" t="s">
        <v>207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</row>
    <row r="89" spans="1:368" ht="21.75" customHeight="1" x14ac:dyDescent="0.3">
      <c r="A89" s="18" t="s">
        <v>117</v>
      </c>
      <c r="B89" s="4" t="s">
        <v>147</v>
      </c>
      <c r="C89" s="6" t="s">
        <v>207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</row>
    <row r="90" spans="1:368" ht="21.75" customHeight="1" x14ac:dyDescent="0.3">
      <c r="A90" s="18" t="s">
        <v>117</v>
      </c>
      <c r="B90" s="4" t="s">
        <v>148</v>
      </c>
      <c r="C90" s="6" t="s">
        <v>207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</row>
    <row r="91" spans="1:368" ht="21.75" customHeight="1" x14ac:dyDescent="0.3">
      <c r="A91" s="18" t="s">
        <v>117</v>
      </c>
      <c r="B91" s="4" t="s">
        <v>149</v>
      </c>
      <c r="C91" s="6" t="s">
        <v>207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</row>
    <row r="92" spans="1:368" ht="21.75" customHeight="1" x14ac:dyDescent="0.3">
      <c r="A92" s="18" t="s">
        <v>117</v>
      </c>
      <c r="B92" s="4" t="s">
        <v>150</v>
      </c>
      <c r="C92" s="6" t="s">
        <v>207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</row>
    <row r="93" spans="1:368" ht="21.75" customHeight="1" x14ac:dyDescent="0.3">
      <c r="A93" s="18" t="s">
        <v>117</v>
      </c>
      <c r="B93" s="4" t="s">
        <v>151</v>
      </c>
      <c r="C93" s="6" t="s">
        <v>207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</row>
    <row r="94" spans="1:368" ht="21.75" customHeight="1" x14ac:dyDescent="0.3">
      <c r="A94" s="18" t="s">
        <v>117</v>
      </c>
      <c r="B94" s="4" t="s">
        <v>152</v>
      </c>
      <c r="C94" s="6" t="s">
        <v>207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</row>
    <row r="95" spans="1:368" ht="21.75" customHeight="1" x14ac:dyDescent="0.3">
      <c r="A95" s="18" t="s">
        <v>117</v>
      </c>
      <c r="B95" s="4" t="s">
        <v>153</v>
      </c>
      <c r="C95" s="6" t="s">
        <v>207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</row>
    <row r="96" spans="1:368" ht="21.75" customHeight="1" x14ac:dyDescent="0.3">
      <c r="A96" s="18" t="s">
        <v>117</v>
      </c>
      <c r="B96" s="4" t="s">
        <v>154</v>
      </c>
      <c r="C96" s="6" t="s">
        <v>207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</row>
    <row r="97" spans="1:368" ht="21.75" customHeight="1" x14ac:dyDescent="0.3">
      <c r="A97" s="18" t="s">
        <v>117</v>
      </c>
      <c r="B97" s="4" t="s">
        <v>155</v>
      </c>
      <c r="C97" s="6" t="s">
        <v>207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</row>
    <row r="98" spans="1:368" ht="21.75" customHeight="1" x14ac:dyDescent="0.3">
      <c r="A98" s="18" t="s">
        <v>117</v>
      </c>
      <c r="B98" s="4" t="s">
        <v>156</v>
      </c>
      <c r="C98" s="6" t="s">
        <v>207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</row>
    <row r="99" spans="1:368" ht="21.75" customHeight="1" x14ac:dyDescent="0.3">
      <c r="A99" s="18" t="s">
        <v>117</v>
      </c>
      <c r="B99" s="4" t="s">
        <v>157</v>
      </c>
      <c r="C99" s="6" t="s">
        <v>207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</row>
    <row r="100" spans="1:368" ht="21.75" customHeight="1" x14ac:dyDescent="0.3">
      <c r="A100" s="18" t="s">
        <v>117</v>
      </c>
      <c r="B100" s="4" t="s">
        <v>158</v>
      </c>
      <c r="C100" s="6" t="s">
        <v>207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</row>
    <row r="101" spans="1:368" ht="21.75" customHeight="1" x14ac:dyDescent="0.3">
      <c r="A101" s="18" t="s">
        <v>59</v>
      </c>
      <c r="B101" s="4" t="s">
        <v>60</v>
      </c>
      <c r="C101" s="6" t="s">
        <v>207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</row>
    <row r="102" spans="1:368" ht="21.75" customHeight="1" x14ac:dyDescent="0.3">
      <c r="A102" s="18" t="s">
        <v>59</v>
      </c>
      <c r="B102" s="4" t="s">
        <v>61</v>
      </c>
      <c r="C102" s="6" t="s">
        <v>207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</row>
    <row r="103" spans="1:368" ht="21.75" customHeight="1" x14ac:dyDescent="0.3">
      <c r="A103" s="18" t="s">
        <v>59</v>
      </c>
      <c r="B103" s="4" t="s">
        <v>62</v>
      </c>
      <c r="C103" s="6" t="s">
        <v>207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</row>
    <row r="104" spans="1:368" ht="21.75" customHeight="1" x14ac:dyDescent="0.3">
      <c r="A104" s="18" t="s">
        <v>59</v>
      </c>
      <c r="B104" s="4" t="s">
        <v>63</v>
      </c>
      <c r="C104" s="6" t="s">
        <v>207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</row>
    <row r="105" spans="1:368" ht="21.75" customHeight="1" x14ac:dyDescent="0.3">
      <c r="A105" s="18" t="s">
        <v>59</v>
      </c>
      <c r="B105" s="4" t="s">
        <v>64</v>
      </c>
      <c r="C105" s="6" t="s">
        <v>207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</row>
    <row r="106" spans="1:368" ht="21.75" customHeight="1" x14ac:dyDescent="0.3">
      <c r="A106" s="18" t="s">
        <v>59</v>
      </c>
      <c r="B106" s="4" t="s">
        <v>65</v>
      </c>
      <c r="C106" s="6" t="s">
        <v>207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</row>
    <row r="107" spans="1:368" ht="21.75" customHeight="1" x14ac:dyDescent="0.3">
      <c r="A107" s="18" t="s">
        <v>59</v>
      </c>
      <c r="B107" s="4" t="s">
        <v>66</v>
      </c>
      <c r="C107" s="6" t="s">
        <v>207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</row>
    <row r="108" spans="1:368" ht="21.75" customHeight="1" x14ac:dyDescent="0.3">
      <c r="A108" s="18" t="s">
        <v>59</v>
      </c>
      <c r="B108" s="4" t="s">
        <v>67</v>
      </c>
      <c r="C108" s="6" t="s">
        <v>207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</row>
    <row r="109" spans="1:368" ht="21.75" customHeight="1" x14ac:dyDescent="0.3">
      <c r="A109" s="18" t="s">
        <v>59</v>
      </c>
      <c r="B109" s="4" t="s">
        <v>68</v>
      </c>
      <c r="C109" s="6" t="s">
        <v>207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</row>
    <row r="110" spans="1:368" ht="21.75" customHeight="1" x14ac:dyDescent="0.3">
      <c r="A110" s="18" t="s">
        <v>59</v>
      </c>
      <c r="B110" s="4" t="s">
        <v>69</v>
      </c>
      <c r="C110" s="6" t="s">
        <v>207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</row>
    <row r="111" spans="1:368" ht="21.75" customHeight="1" x14ac:dyDescent="0.3">
      <c r="A111" s="18" t="s">
        <v>59</v>
      </c>
      <c r="B111" s="4" t="s">
        <v>70</v>
      </c>
      <c r="C111" s="6" t="s">
        <v>207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</row>
    <row r="112" spans="1:368" ht="21.75" customHeight="1" x14ac:dyDescent="0.3">
      <c r="A112" s="18" t="s">
        <v>59</v>
      </c>
      <c r="B112" s="4" t="s">
        <v>71</v>
      </c>
      <c r="C112" s="6" t="s">
        <v>207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</row>
    <row r="113" spans="1:368" ht="21.75" customHeight="1" x14ac:dyDescent="0.3">
      <c r="A113" s="18" t="s">
        <v>59</v>
      </c>
      <c r="B113" s="4" t="s">
        <v>72</v>
      </c>
      <c r="C113" s="6" t="s">
        <v>207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</row>
    <row r="114" spans="1:368" ht="21.75" customHeight="1" x14ac:dyDescent="0.3">
      <c r="A114" s="18" t="s">
        <v>59</v>
      </c>
      <c r="B114" s="4" t="s">
        <v>73</v>
      </c>
      <c r="C114" s="6" t="s">
        <v>207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</row>
    <row r="115" spans="1:368" ht="21.75" customHeight="1" x14ac:dyDescent="0.3">
      <c r="A115" s="18" t="s">
        <v>59</v>
      </c>
      <c r="B115" s="4" t="s">
        <v>74</v>
      </c>
      <c r="C115" s="6" t="s">
        <v>207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</row>
    <row r="116" spans="1:368" ht="21.75" customHeight="1" x14ac:dyDescent="0.3">
      <c r="A116" s="18" t="s">
        <v>59</v>
      </c>
      <c r="B116" s="4" t="s">
        <v>75</v>
      </c>
      <c r="C116" s="6" t="s">
        <v>207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</row>
    <row r="117" spans="1:368" ht="21.75" customHeight="1" x14ac:dyDescent="0.3">
      <c r="A117" s="18" t="s">
        <v>59</v>
      </c>
      <c r="B117" s="4" t="s">
        <v>76</v>
      </c>
      <c r="C117" s="6" t="s">
        <v>207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</row>
    <row r="118" spans="1:368" ht="21.75" customHeight="1" x14ac:dyDescent="0.3">
      <c r="A118" s="18" t="s">
        <v>59</v>
      </c>
      <c r="B118" s="4" t="s">
        <v>77</v>
      </c>
      <c r="C118" s="6" t="s">
        <v>207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</row>
    <row r="119" spans="1:368" ht="21.75" customHeight="1" x14ac:dyDescent="0.3">
      <c r="A119" s="18" t="s">
        <v>59</v>
      </c>
      <c r="B119" s="4" t="s">
        <v>78</v>
      </c>
      <c r="C119" s="6" t="s">
        <v>207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</row>
    <row r="120" spans="1:368" ht="21.75" customHeight="1" x14ac:dyDescent="0.3">
      <c r="A120" s="18" t="s">
        <v>59</v>
      </c>
      <c r="B120" s="4" t="s">
        <v>79</v>
      </c>
      <c r="C120" s="6" t="s">
        <v>207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</row>
    <row r="121" spans="1:368" ht="21.75" customHeight="1" x14ac:dyDescent="0.3">
      <c r="A121" s="18" t="s">
        <v>59</v>
      </c>
      <c r="B121" s="4" t="s">
        <v>80</v>
      </c>
      <c r="C121" s="6" t="s">
        <v>207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</row>
    <row r="122" spans="1:368" ht="21.75" customHeight="1" x14ac:dyDescent="0.3">
      <c r="A122" s="18" t="s">
        <v>59</v>
      </c>
      <c r="B122" s="4" t="s">
        <v>81</v>
      </c>
      <c r="C122" s="6" t="s">
        <v>207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</row>
    <row r="123" spans="1:368" ht="21.75" customHeight="1" x14ac:dyDescent="0.3">
      <c r="A123" s="18" t="s">
        <v>59</v>
      </c>
      <c r="B123" s="4" t="s">
        <v>82</v>
      </c>
      <c r="C123" s="6" t="s">
        <v>207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</row>
    <row r="124" spans="1:368" ht="21.75" customHeight="1" x14ac:dyDescent="0.3">
      <c r="A124" s="18" t="s">
        <v>59</v>
      </c>
      <c r="B124" s="4" t="s">
        <v>83</v>
      </c>
      <c r="C124" s="6" t="s">
        <v>207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</row>
    <row r="125" spans="1:368" ht="21.75" customHeight="1" x14ac:dyDescent="0.3">
      <c r="A125" s="18" t="s">
        <v>59</v>
      </c>
      <c r="B125" s="4" t="s">
        <v>84</v>
      </c>
      <c r="C125" s="6" t="s">
        <v>207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</row>
    <row r="126" spans="1:368" ht="21.75" customHeight="1" x14ac:dyDescent="0.3">
      <c r="A126" s="18" t="s">
        <v>59</v>
      </c>
      <c r="B126" s="4" t="s">
        <v>85</v>
      </c>
      <c r="C126" s="6" t="s">
        <v>207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</row>
    <row r="127" spans="1:368" ht="21.75" customHeight="1" x14ac:dyDescent="0.3">
      <c r="A127" s="18" t="s">
        <v>59</v>
      </c>
      <c r="B127" s="4" t="s">
        <v>86</v>
      </c>
      <c r="C127" s="6" t="s">
        <v>207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</row>
    <row r="128" spans="1:368" ht="21.75" customHeight="1" x14ac:dyDescent="0.3">
      <c r="A128" s="18" t="s">
        <v>59</v>
      </c>
      <c r="B128" s="4" t="s">
        <v>87</v>
      </c>
      <c r="C128" s="6" t="s">
        <v>207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</row>
    <row r="129" spans="1:368" ht="21.75" customHeight="1" x14ac:dyDescent="0.3">
      <c r="A129" s="18" t="s">
        <v>59</v>
      </c>
      <c r="B129" s="4" t="s">
        <v>88</v>
      </c>
      <c r="C129" s="6" t="s">
        <v>207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</row>
    <row r="130" spans="1:368" ht="21.75" customHeight="1" x14ac:dyDescent="0.3">
      <c r="A130" s="18" t="s">
        <v>59</v>
      </c>
      <c r="B130" s="4" t="s">
        <v>89</v>
      </c>
      <c r="C130" s="6" t="s">
        <v>207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</row>
    <row r="131" spans="1:368" ht="21.75" customHeight="1" x14ac:dyDescent="0.3">
      <c r="A131" s="18" t="s">
        <v>59</v>
      </c>
      <c r="B131" s="4" t="s">
        <v>90</v>
      </c>
      <c r="C131" s="6" t="s">
        <v>207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</row>
    <row r="132" spans="1:368" ht="21.75" customHeight="1" x14ac:dyDescent="0.3">
      <c r="A132" s="18" t="s">
        <v>59</v>
      </c>
      <c r="B132" s="4" t="s">
        <v>91</v>
      </c>
      <c r="C132" s="6" t="s">
        <v>207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</row>
    <row r="133" spans="1:368" ht="21.75" customHeight="1" x14ac:dyDescent="0.3">
      <c r="A133" s="18" t="s">
        <v>59</v>
      </c>
      <c r="B133" s="4" t="s">
        <v>92</v>
      </c>
      <c r="C133" s="6" t="s">
        <v>207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</row>
    <row r="134" spans="1:368" ht="21.75" customHeight="1" x14ac:dyDescent="0.3">
      <c r="A134" s="18" t="s">
        <v>59</v>
      </c>
      <c r="B134" s="4" t="s">
        <v>93</v>
      </c>
      <c r="C134" s="6" t="s">
        <v>207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</row>
    <row r="135" spans="1:368" ht="21.75" customHeight="1" x14ac:dyDescent="0.3">
      <c r="A135" s="18" t="s">
        <v>59</v>
      </c>
      <c r="B135" s="4" t="s">
        <v>94</v>
      </c>
      <c r="C135" s="6" t="s">
        <v>207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</row>
    <row r="136" spans="1:368" ht="21.75" customHeight="1" x14ac:dyDescent="0.3">
      <c r="A136" s="18" t="s">
        <v>59</v>
      </c>
      <c r="B136" s="4" t="s">
        <v>95</v>
      </c>
      <c r="C136" s="6" t="s">
        <v>207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</row>
    <row r="137" spans="1:368" ht="21.75" customHeight="1" x14ac:dyDescent="0.3">
      <c r="A137" s="18" t="s">
        <v>59</v>
      </c>
      <c r="B137" s="4" t="s">
        <v>96</v>
      </c>
      <c r="C137" s="6" t="s">
        <v>207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</row>
    <row r="138" spans="1:368" ht="21.75" customHeight="1" x14ac:dyDescent="0.3">
      <c r="A138" s="18" t="s">
        <v>59</v>
      </c>
      <c r="B138" s="4" t="s">
        <v>97</v>
      </c>
      <c r="C138" s="6" t="s">
        <v>207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</row>
    <row r="139" spans="1:368" ht="21.75" customHeight="1" x14ac:dyDescent="0.3">
      <c r="A139" s="18" t="s">
        <v>59</v>
      </c>
      <c r="B139" s="4" t="s">
        <v>98</v>
      </c>
      <c r="C139" s="6" t="s">
        <v>207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</row>
    <row r="140" spans="1:368" ht="21.75" customHeight="1" x14ac:dyDescent="0.3">
      <c r="A140" s="18" t="s">
        <v>59</v>
      </c>
      <c r="B140" s="4" t="s">
        <v>99</v>
      </c>
      <c r="C140" s="6" t="s">
        <v>207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</row>
    <row r="141" spans="1:368" ht="21.75" customHeight="1" x14ac:dyDescent="0.3">
      <c r="A141" s="18" t="s">
        <v>59</v>
      </c>
      <c r="B141" s="4" t="s">
        <v>100</v>
      </c>
      <c r="C141" s="6" t="s">
        <v>207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</row>
    <row r="142" spans="1:368" ht="21.75" customHeight="1" x14ac:dyDescent="0.3">
      <c r="A142" s="18" t="s">
        <v>59</v>
      </c>
      <c r="B142" s="4" t="s">
        <v>101</v>
      </c>
      <c r="C142" s="6" t="s">
        <v>207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</row>
    <row r="143" spans="1:368" ht="21.75" customHeight="1" x14ac:dyDescent="0.3">
      <c r="A143" s="18" t="s">
        <v>59</v>
      </c>
      <c r="B143" s="4" t="s">
        <v>102</v>
      </c>
      <c r="C143" s="6" t="s">
        <v>207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</row>
    <row r="144" spans="1:368" ht="21.75" customHeight="1" x14ac:dyDescent="0.3">
      <c r="A144" s="18" t="s">
        <v>59</v>
      </c>
      <c r="B144" s="4" t="s">
        <v>103</v>
      </c>
      <c r="C144" s="6" t="s">
        <v>207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</row>
    <row r="145" spans="1:368" ht="21.75" customHeight="1" x14ac:dyDescent="0.3">
      <c r="A145" s="18" t="s">
        <v>59</v>
      </c>
      <c r="B145" s="4" t="s">
        <v>104</v>
      </c>
      <c r="C145" s="6" t="s">
        <v>207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</row>
    <row r="146" spans="1:368" ht="21.75" customHeight="1" x14ac:dyDescent="0.3">
      <c r="A146" s="18" t="s">
        <v>59</v>
      </c>
      <c r="B146" s="4" t="s">
        <v>105</v>
      </c>
      <c r="C146" s="6" t="s">
        <v>207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</row>
    <row r="147" spans="1:368" ht="21.75" customHeight="1" x14ac:dyDescent="0.3">
      <c r="A147" s="18" t="s">
        <v>59</v>
      </c>
      <c r="B147" s="4" t="s">
        <v>106</v>
      </c>
      <c r="C147" s="6" t="s">
        <v>207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</row>
    <row r="148" spans="1:368" ht="21.75" customHeight="1" x14ac:dyDescent="0.3">
      <c r="A148" s="18" t="s">
        <v>59</v>
      </c>
      <c r="B148" s="4" t="s">
        <v>107</v>
      </c>
      <c r="C148" s="6" t="s">
        <v>207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</row>
    <row r="149" spans="1:368" ht="21.75" customHeight="1" x14ac:dyDescent="0.3">
      <c r="A149" s="18" t="s">
        <v>59</v>
      </c>
      <c r="B149" s="4" t="s">
        <v>108</v>
      </c>
      <c r="C149" s="6" t="s">
        <v>207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</row>
    <row r="150" spans="1:368" ht="21.75" customHeight="1" x14ac:dyDescent="0.3">
      <c r="A150" s="18" t="s">
        <v>59</v>
      </c>
      <c r="B150" s="4" t="s">
        <v>109</v>
      </c>
      <c r="C150" s="6" t="s">
        <v>207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</row>
    <row r="151" spans="1:368" ht="21.75" customHeight="1" x14ac:dyDescent="0.3">
      <c r="A151" s="18" t="s">
        <v>59</v>
      </c>
      <c r="B151" s="4" t="s">
        <v>110</v>
      </c>
      <c r="C151" s="6" t="s">
        <v>207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</row>
    <row r="152" spans="1:368" ht="21.75" customHeight="1" x14ac:dyDescent="0.3">
      <c r="A152" s="18" t="s">
        <v>59</v>
      </c>
      <c r="B152" s="4" t="s">
        <v>111</v>
      </c>
      <c r="C152" s="6" t="s">
        <v>207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</row>
    <row r="153" spans="1:368" ht="21.75" customHeight="1" x14ac:dyDescent="0.3">
      <c r="A153" s="18" t="s">
        <v>59</v>
      </c>
      <c r="B153" s="4" t="s">
        <v>112</v>
      </c>
      <c r="C153" s="6" t="s">
        <v>207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</row>
    <row r="154" spans="1:368" ht="21.75" customHeight="1" x14ac:dyDescent="0.3">
      <c r="A154" s="18" t="s">
        <v>113</v>
      </c>
      <c r="B154" s="4" t="s">
        <v>114</v>
      </c>
      <c r="C154" s="6" t="s">
        <v>207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</row>
    <row r="155" spans="1:368" ht="21.75" customHeight="1" x14ac:dyDescent="0.3">
      <c r="A155" s="18" t="s">
        <v>113</v>
      </c>
      <c r="B155" s="4" t="s">
        <v>115</v>
      </c>
      <c r="C155" s="6" t="s">
        <v>207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</row>
    <row r="156" spans="1:368" ht="21.75" customHeight="1" x14ac:dyDescent="0.3">
      <c r="A156" s="18" t="s">
        <v>113</v>
      </c>
      <c r="B156" s="4" t="s">
        <v>116</v>
      </c>
      <c r="C156" s="6" t="s">
        <v>207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</row>
    <row r="157" spans="1:368" ht="21.75" customHeight="1" x14ac:dyDescent="0.3">
      <c r="A157" s="18" t="s">
        <v>159</v>
      </c>
      <c r="B157" s="4" t="s">
        <v>160</v>
      </c>
      <c r="C157" s="6" t="s">
        <v>207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</row>
    <row r="158" spans="1:368" ht="21.75" customHeight="1" x14ac:dyDescent="0.3">
      <c r="A158" s="18" t="s">
        <v>159</v>
      </c>
      <c r="B158" s="4" t="s">
        <v>161</v>
      </c>
      <c r="C158" s="6" t="s">
        <v>207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</row>
    <row r="159" spans="1:368" ht="21.75" customHeight="1" x14ac:dyDescent="0.3">
      <c r="A159" s="18" t="s">
        <v>159</v>
      </c>
      <c r="B159" s="4" t="s">
        <v>162</v>
      </c>
      <c r="C159" s="6" t="s">
        <v>207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</row>
    <row r="160" spans="1:368" ht="21.75" customHeight="1" x14ac:dyDescent="0.3">
      <c r="A160" s="18" t="s">
        <v>159</v>
      </c>
      <c r="B160" s="4" t="s">
        <v>163</v>
      </c>
      <c r="C160" s="6" t="s">
        <v>207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</row>
    <row r="161" spans="1:368" ht="21.75" customHeight="1" x14ac:dyDescent="0.3">
      <c r="A161" s="18" t="s">
        <v>159</v>
      </c>
      <c r="B161" s="4" t="s">
        <v>164</v>
      </c>
      <c r="C161" s="6" t="s">
        <v>207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</row>
    <row r="162" spans="1:368" ht="21.75" customHeight="1" x14ac:dyDescent="0.3">
      <c r="A162" s="18" t="s">
        <v>159</v>
      </c>
      <c r="B162" s="4" t="s">
        <v>165</v>
      </c>
      <c r="C162" s="6" t="s">
        <v>207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</row>
    <row r="163" spans="1:368" ht="21.75" customHeight="1" x14ac:dyDescent="0.3">
      <c r="A163" s="18" t="s">
        <v>159</v>
      </c>
      <c r="B163" s="4" t="s">
        <v>166</v>
      </c>
      <c r="C163" s="6" t="s">
        <v>207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</row>
    <row r="164" spans="1:368" ht="21.75" customHeight="1" x14ac:dyDescent="0.3">
      <c r="A164" s="18" t="s">
        <v>159</v>
      </c>
      <c r="B164" s="4" t="s">
        <v>167</v>
      </c>
      <c r="C164" s="6" t="s">
        <v>207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</row>
    <row r="165" spans="1:368" ht="21.75" customHeight="1" x14ac:dyDescent="0.3">
      <c r="A165" s="18" t="s">
        <v>159</v>
      </c>
      <c r="B165" s="4" t="s">
        <v>168</v>
      </c>
      <c r="C165" s="6" t="s">
        <v>207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</row>
    <row r="166" spans="1:368" ht="21.75" customHeight="1" x14ac:dyDescent="0.3">
      <c r="A166" s="18" t="s">
        <v>159</v>
      </c>
      <c r="B166" s="4" t="s">
        <v>169</v>
      </c>
      <c r="C166" s="6" t="s">
        <v>207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</row>
    <row r="167" spans="1:368" ht="21.75" customHeight="1" x14ac:dyDescent="0.3">
      <c r="A167" s="18" t="s">
        <v>159</v>
      </c>
      <c r="B167" s="4" t="s">
        <v>170</v>
      </c>
      <c r="C167" s="6" t="s">
        <v>207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</row>
    <row r="168" spans="1:368" ht="21.75" customHeight="1" x14ac:dyDescent="0.3">
      <c r="A168" s="18" t="s">
        <v>159</v>
      </c>
      <c r="B168" s="4" t="s">
        <v>171</v>
      </c>
      <c r="C168" s="6" t="s">
        <v>207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</row>
    <row r="169" spans="1:368" ht="21.75" customHeight="1" x14ac:dyDescent="0.3">
      <c r="A169" s="18" t="s">
        <v>159</v>
      </c>
      <c r="B169" s="4" t="s">
        <v>172</v>
      </c>
      <c r="C169" s="6" t="s">
        <v>207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</row>
    <row r="170" spans="1:368" ht="21.75" customHeight="1" x14ac:dyDescent="0.3">
      <c r="A170" s="18" t="s">
        <v>159</v>
      </c>
      <c r="B170" s="4" t="s">
        <v>173</v>
      </c>
      <c r="C170" s="6" t="s">
        <v>207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</row>
    <row r="171" spans="1:368" ht="21.75" customHeight="1" x14ac:dyDescent="0.3">
      <c r="A171" s="18" t="s">
        <v>159</v>
      </c>
      <c r="B171" s="4" t="s">
        <v>174</v>
      </c>
      <c r="C171" s="6" t="s">
        <v>207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</row>
    <row r="172" spans="1:368" ht="21.75" customHeight="1" x14ac:dyDescent="0.3">
      <c r="A172" s="18" t="s">
        <v>159</v>
      </c>
      <c r="B172" s="4" t="s">
        <v>175</v>
      </c>
      <c r="C172" s="6" t="s">
        <v>207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</row>
    <row r="173" spans="1:368" ht="21.75" customHeight="1" x14ac:dyDescent="0.3">
      <c r="A173" s="18" t="s">
        <v>159</v>
      </c>
      <c r="B173" s="4" t="s">
        <v>176</v>
      </c>
      <c r="C173" s="6" t="s">
        <v>207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</row>
    <row r="174" spans="1:368" ht="21.75" customHeight="1" x14ac:dyDescent="0.3">
      <c r="A174" s="18" t="s">
        <v>159</v>
      </c>
      <c r="B174" s="4" t="s">
        <v>177</v>
      </c>
      <c r="C174" s="6" t="s">
        <v>207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</row>
    <row r="175" spans="1:368" ht="21.75" customHeight="1" x14ac:dyDescent="0.3">
      <c r="A175" s="18" t="s">
        <v>159</v>
      </c>
      <c r="B175" s="4" t="s">
        <v>178</v>
      </c>
      <c r="C175" s="6" t="s">
        <v>207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</row>
    <row r="176" spans="1:368" ht="21.75" customHeight="1" x14ac:dyDescent="0.3">
      <c r="A176" s="18" t="s">
        <v>159</v>
      </c>
      <c r="B176" s="4" t="s">
        <v>179</v>
      </c>
      <c r="C176" s="6" t="s">
        <v>207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</row>
    <row r="177" spans="1:368" ht="21.75" customHeight="1" x14ac:dyDescent="0.3">
      <c r="A177" s="18" t="s">
        <v>159</v>
      </c>
      <c r="B177" s="4" t="s">
        <v>180</v>
      </c>
      <c r="C177" s="6" t="s">
        <v>207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</row>
    <row r="178" spans="1:368" ht="21.75" customHeight="1" x14ac:dyDescent="0.3">
      <c r="A178" s="18" t="s">
        <v>159</v>
      </c>
      <c r="B178" s="4" t="s">
        <v>181</v>
      </c>
      <c r="C178" s="6" t="s">
        <v>207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</row>
    <row r="179" spans="1:368" ht="21.75" customHeight="1" x14ac:dyDescent="0.3">
      <c r="A179" s="18" t="s">
        <v>159</v>
      </c>
      <c r="B179" s="4" t="s">
        <v>182</v>
      </c>
      <c r="C179" s="6" t="s">
        <v>207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</row>
    <row r="180" spans="1:368" ht="21.75" customHeight="1" x14ac:dyDescent="0.3">
      <c r="A180" s="18" t="s">
        <v>183</v>
      </c>
      <c r="B180" s="4" t="s">
        <v>184</v>
      </c>
      <c r="C180" s="6" t="s">
        <v>207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</row>
    <row r="181" spans="1:368" ht="21.75" customHeight="1" x14ac:dyDescent="0.3">
      <c r="A181" s="18" t="s">
        <v>183</v>
      </c>
      <c r="B181" s="4" t="s">
        <v>185</v>
      </c>
      <c r="C181" s="6" t="s">
        <v>207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</row>
    <row r="182" spans="1:368" ht="21.75" customHeight="1" x14ac:dyDescent="0.3">
      <c r="A182" s="18" t="s">
        <v>183</v>
      </c>
      <c r="B182" s="4" t="s">
        <v>186</v>
      </c>
      <c r="C182" s="6" t="s">
        <v>207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</row>
    <row r="183" spans="1:368" ht="21.75" customHeight="1" x14ac:dyDescent="0.3">
      <c r="A183" s="18" t="s">
        <v>183</v>
      </c>
      <c r="B183" s="4" t="s">
        <v>187</v>
      </c>
      <c r="C183" s="6" t="s">
        <v>207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</row>
    <row r="184" spans="1:368" ht="21.75" customHeight="1" x14ac:dyDescent="0.3">
      <c r="A184" s="18" t="s">
        <v>183</v>
      </c>
      <c r="B184" s="4" t="s">
        <v>188</v>
      </c>
      <c r="C184" s="6" t="s">
        <v>207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</row>
    <row r="185" spans="1:368" ht="21.75" customHeight="1" x14ac:dyDescent="0.3">
      <c r="A185" s="18" t="s">
        <v>183</v>
      </c>
      <c r="B185" s="4" t="s">
        <v>189</v>
      </c>
      <c r="C185" s="6" t="s">
        <v>207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</row>
    <row r="186" spans="1:368" ht="21.75" customHeight="1" x14ac:dyDescent="0.3">
      <c r="A186" s="18" t="s">
        <v>183</v>
      </c>
      <c r="B186" s="4" t="s">
        <v>190</v>
      </c>
      <c r="C186" s="6" t="s">
        <v>207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</row>
    <row r="187" spans="1:368" ht="21.75" customHeight="1" x14ac:dyDescent="0.3">
      <c r="A187" s="18" t="s">
        <v>183</v>
      </c>
      <c r="B187" s="4" t="s">
        <v>191</v>
      </c>
      <c r="C187" s="6" t="s">
        <v>207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</row>
    <row r="188" spans="1:368" ht="21.75" customHeight="1" x14ac:dyDescent="0.3">
      <c r="A188" s="4"/>
      <c r="B188" s="4"/>
      <c r="C188" s="6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</row>
    <row r="189" spans="1:368" ht="21.75" customHeight="1" x14ac:dyDescent="0.3">
      <c r="A189" s="4"/>
      <c r="B189" s="4"/>
      <c r="C189" s="6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</row>
    <row r="190" spans="1:368" ht="21.75" customHeight="1" x14ac:dyDescent="0.3">
      <c r="A190" s="4"/>
      <c r="B190" s="4"/>
      <c r="C190" s="6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</row>
    <row r="191" spans="1:368" ht="21.75" customHeight="1" x14ac:dyDescent="0.3">
      <c r="A191" s="4"/>
      <c r="B191" s="4"/>
      <c r="C191" s="6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</row>
    <row r="192" spans="1:368" ht="21.75" customHeight="1" x14ac:dyDescent="0.3">
      <c r="A192" s="4"/>
      <c r="B192" s="4"/>
      <c r="C192" s="6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</row>
    <row r="193" spans="1:368" ht="21.75" customHeight="1" x14ac:dyDescent="0.3">
      <c r="A193" s="4"/>
      <c r="B193" s="4"/>
      <c r="C193" s="6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</row>
    <row r="194" spans="1:368" ht="21.75" customHeight="1" x14ac:dyDescent="0.3">
      <c r="A194" s="4"/>
      <c r="B194" s="4"/>
      <c r="C194" s="6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</row>
    <row r="195" spans="1:368" ht="21.75" customHeight="1" x14ac:dyDescent="0.3">
      <c r="A195" s="4"/>
      <c r="B195" s="4"/>
      <c r="C195" s="6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</row>
    <row r="196" spans="1:368" ht="21.75" customHeight="1" x14ac:dyDescent="0.3">
      <c r="A196" s="4"/>
      <c r="B196" s="4"/>
      <c r="C196" s="6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</row>
    <row r="197" spans="1:368" ht="21.75" customHeight="1" x14ac:dyDescent="0.3">
      <c r="A197" s="4"/>
      <c r="B197" s="4"/>
      <c r="C197" s="6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</row>
    <row r="198" spans="1:368" ht="21.75" customHeight="1" x14ac:dyDescent="0.3">
      <c r="A198" s="4"/>
      <c r="B198" s="4"/>
      <c r="C198" s="6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</row>
    <row r="199" spans="1:368" ht="21.75" customHeight="1" x14ac:dyDescent="0.3">
      <c r="A199" s="4"/>
      <c r="B199" s="4"/>
      <c r="C199" s="6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</row>
    <row r="200" spans="1:368" ht="21.75" customHeight="1" x14ac:dyDescent="0.3">
      <c r="A200" s="4"/>
      <c r="B200" s="4"/>
      <c r="C200" s="6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</row>
    <row r="201" spans="1:368" ht="21.75" customHeight="1" x14ac:dyDescent="0.3">
      <c r="A201" s="4"/>
      <c r="B201" s="4"/>
      <c r="C201" s="6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</row>
    <row r="202" spans="1:368" ht="21.75" customHeight="1" x14ac:dyDescent="0.3">
      <c r="A202" s="4"/>
      <c r="B202" s="4"/>
      <c r="C202" s="6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</row>
    <row r="203" spans="1:368" ht="21.75" customHeight="1" x14ac:dyDescent="0.3">
      <c r="A203" s="4"/>
      <c r="B203" s="4"/>
      <c r="C203" s="6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</row>
    <row r="204" spans="1:368" ht="21.75" customHeight="1" x14ac:dyDescent="0.3">
      <c r="A204" s="4"/>
      <c r="B204" s="4"/>
      <c r="C204" s="6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</row>
    <row r="205" spans="1:368" ht="21.75" customHeight="1" x14ac:dyDescent="0.3">
      <c r="A205" s="4"/>
      <c r="B205" s="4"/>
      <c r="C205" s="6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</row>
    <row r="206" spans="1:368" ht="21.75" customHeight="1" x14ac:dyDescent="0.3">
      <c r="A206" s="4"/>
      <c r="B206" s="4"/>
      <c r="C206" s="6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</row>
    <row r="207" spans="1:368" ht="21.75" customHeight="1" x14ac:dyDescent="0.3">
      <c r="A207" s="4"/>
      <c r="B207" s="4"/>
      <c r="C207" s="6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</row>
    <row r="208" spans="1:368" ht="21.75" customHeight="1" x14ac:dyDescent="0.3">
      <c r="A208" s="4"/>
      <c r="B208" s="4"/>
      <c r="C208" s="6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</row>
    <row r="209" spans="1:368" ht="21.75" customHeight="1" x14ac:dyDescent="0.3">
      <c r="A209" s="4"/>
      <c r="B209" s="4"/>
      <c r="C209" s="6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</row>
    <row r="210" spans="1:368" ht="21.75" customHeight="1" x14ac:dyDescent="0.3">
      <c r="A210" s="4"/>
      <c r="B210" s="4"/>
      <c r="C210" s="6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</row>
    <row r="211" spans="1:368" ht="21.75" customHeight="1" x14ac:dyDescent="0.3">
      <c r="A211" s="4"/>
      <c r="B211" s="4"/>
      <c r="C211" s="6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</row>
    <row r="212" spans="1:368" ht="21.75" customHeight="1" x14ac:dyDescent="0.3">
      <c r="A212" s="4"/>
      <c r="B212" s="4"/>
      <c r="C212" s="6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</row>
    <row r="213" spans="1:368" ht="21.75" customHeight="1" x14ac:dyDescent="0.3">
      <c r="A213" s="4"/>
      <c r="B213" s="4"/>
      <c r="C213" s="6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</row>
    <row r="214" spans="1:368" ht="21.75" customHeight="1" x14ac:dyDescent="0.3">
      <c r="A214" s="4"/>
      <c r="B214" s="4"/>
      <c r="C214" s="6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</row>
    <row r="215" spans="1:368" ht="21.75" customHeight="1" x14ac:dyDescent="0.3">
      <c r="A215" s="4"/>
      <c r="B215" s="4"/>
      <c r="C215" s="6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</row>
    <row r="216" spans="1:368" ht="21.75" customHeight="1" x14ac:dyDescent="0.3">
      <c r="A216" s="4"/>
      <c r="B216" s="4"/>
      <c r="C216" s="6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</row>
    <row r="217" spans="1:368" ht="21.75" customHeight="1" x14ac:dyDescent="0.3">
      <c r="A217" s="4"/>
      <c r="B217" s="4"/>
      <c r="C217" s="6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</row>
    <row r="218" spans="1:368" ht="21.75" customHeight="1" x14ac:dyDescent="0.3">
      <c r="A218" s="4"/>
      <c r="B218" s="4"/>
      <c r="C218" s="6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</row>
    <row r="219" spans="1:368" ht="21.75" customHeight="1" x14ac:dyDescent="0.3">
      <c r="A219" s="4"/>
      <c r="B219" s="4"/>
      <c r="C219" s="6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</row>
    <row r="220" spans="1:368" ht="21.75" customHeight="1" x14ac:dyDescent="0.3">
      <c r="A220" s="4"/>
      <c r="B220" s="4"/>
      <c r="C220" s="6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</row>
    <row r="221" spans="1:368" ht="21.75" customHeight="1" x14ac:dyDescent="0.3">
      <c r="A221" s="4"/>
      <c r="B221" s="4"/>
      <c r="C221" s="6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</row>
    <row r="222" spans="1:368" ht="21.75" customHeight="1" x14ac:dyDescent="0.3">
      <c r="A222" s="4"/>
      <c r="B222" s="4"/>
      <c r="C222" s="6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</row>
    <row r="223" spans="1:368" ht="21.75" customHeight="1" x14ac:dyDescent="0.3">
      <c r="A223" s="4"/>
      <c r="B223" s="4"/>
      <c r="C223" s="6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</row>
    <row r="224" spans="1:368" ht="21.75" customHeight="1" x14ac:dyDescent="0.3">
      <c r="A224" s="4"/>
      <c r="B224" s="4"/>
      <c r="C224" s="6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</row>
    <row r="225" spans="1:368" ht="21.75" customHeight="1" x14ac:dyDescent="0.3">
      <c r="A225" s="4"/>
      <c r="B225" s="4"/>
      <c r="C225" s="6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</row>
    <row r="226" spans="1:368" ht="21.75" customHeight="1" x14ac:dyDescent="0.3">
      <c r="A226" s="4"/>
      <c r="B226" s="4"/>
      <c r="C226" s="6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</row>
    <row r="227" spans="1:368" ht="21.75" customHeight="1" x14ac:dyDescent="0.3">
      <c r="A227" s="4"/>
      <c r="B227" s="4"/>
      <c r="C227" s="6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</row>
    <row r="228" spans="1:368" ht="21.75" customHeight="1" x14ac:dyDescent="0.3">
      <c r="A228" s="4"/>
      <c r="B228" s="4"/>
      <c r="C228" s="6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</row>
    <row r="229" spans="1:368" ht="21.75" customHeight="1" x14ac:dyDescent="0.3">
      <c r="A229" s="4"/>
      <c r="B229" s="4"/>
      <c r="C229" s="6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</row>
    <row r="230" spans="1:368" ht="21.75" customHeight="1" x14ac:dyDescent="0.3">
      <c r="A230" s="4"/>
      <c r="B230" s="4"/>
      <c r="C230" s="6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</row>
    <row r="231" spans="1:368" ht="21.75" customHeight="1" x14ac:dyDescent="0.3">
      <c r="A231" s="4"/>
      <c r="B231" s="4"/>
      <c r="C231" s="6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</row>
    <row r="232" spans="1:368" ht="21.75" customHeight="1" x14ac:dyDescent="0.3">
      <c r="A232" s="4"/>
      <c r="B232" s="4"/>
      <c r="C232" s="6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</row>
    <row r="233" spans="1:368" ht="21.75" customHeight="1" x14ac:dyDescent="0.3">
      <c r="A233" s="4"/>
      <c r="B233" s="4"/>
      <c r="C233" s="6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</row>
    <row r="234" spans="1:368" ht="21.75" customHeight="1" x14ac:dyDescent="0.3">
      <c r="A234" s="4"/>
      <c r="B234" s="4"/>
      <c r="C234" s="6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</row>
    <row r="235" spans="1:368" ht="21.75" customHeight="1" x14ac:dyDescent="0.3">
      <c r="A235" s="4"/>
      <c r="B235" s="4"/>
      <c r="C235" s="6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</row>
    <row r="236" spans="1:368" ht="21.75" customHeight="1" x14ac:dyDescent="0.3">
      <c r="A236" s="4"/>
      <c r="B236" s="4"/>
      <c r="C236" s="6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</row>
    <row r="237" spans="1:368" ht="21.75" customHeight="1" x14ac:dyDescent="0.3">
      <c r="A237" s="4"/>
      <c r="B237" s="4"/>
      <c r="C237" s="6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</row>
    <row r="238" spans="1:368" ht="21.75" customHeight="1" x14ac:dyDescent="0.3">
      <c r="A238" s="4"/>
      <c r="B238" s="4"/>
      <c r="C238" s="6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</row>
    <row r="239" spans="1:368" ht="21.75" customHeight="1" x14ac:dyDescent="0.3">
      <c r="A239" s="4"/>
      <c r="B239" s="4"/>
      <c r="C239" s="6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</row>
    <row r="240" spans="1:368" ht="21.75" customHeight="1" x14ac:dyDescent="0.3">
      <c r="A240" s="4"/>
      <c r="B240" s="4"/>
      <c r="C240" s="6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</row>
    <row r="241" spans="1:368" ht="21.75" customHeight="1" x14ac:dyDescent="0.3">
      <c r="A241" s="4"/>
      <c r="B241" s="4"/>
      <c r="C241" s="6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</row>
    <row r="242" spans="1:368" ht="21.75" customHeight="1" x14ac:dyDescent="0.3">
      <c r="A242" s="4"/>
      <c r="B242" s="4"/>
      <c r="C242" s="6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</row>
    <row r="243" spans="1:368" ht="21.75" customHeight="1" x14ac:dyDescent="0.3">
      <c r="A243" s="4"/>
      <c r="B243" s="4"/>
      <c r="C243" s="6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</row>
    <row r="244" spans="1:368" ht="21.75" customHeight="1" x14ac:dyDescent="0.3">
      <c r="A244" s="4"/>
      <c r="B244" s="4"/>
      <c r="C244" s="6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</row>
    <row r="245" spans="1:368" ht="21.75" customHeight="1" x14ac:dyDescent="0.3">
      <c r="A245" s="4"/>
      <c r="B245" s="4"/>
      <c r="C245" s="6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</row>
    <row r="246" spans="1:368" ht="21.75" customHeight="1" x14ac:dyDescent="0.3">
      <c r="A246" s="4"/>
      <c r="B246" s="4"/>
      <c r="C246" s="6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</row>
    <row r="247" spans="1:368" ht="21.75" customHeight="1" x14ac:dyDescent="0.3">
      <c r="A247" s="4"/>
      <c r="B247" s="4"/>
      <c r="C247" s="6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</row>
    <row r="248" spans="1:368" ht="21.75" customHeight="1" x14ac:dyDescent="0.3">
      <c r="A248" s="4"/>
      <c r="B248" s="4"/>
      <c r="C248" s="6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</row>
    <row r="249" spans="1:368" ht="21.75" customHeight="1" x14ac:dyDescent="0.3">
      <c r="A249" s="4"/>
      <c r="B249" s="4"/>
      <c r="C249" s="6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</row>
    <row r="250" spans="1:368" ht="21.75" customHeight="1" x14ac:dyDescent="0.3">
      <c r="A250" s="4"/>
      <c r="B250" s="4"/>
      <c r="C250" s="6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</row>
    <row r="251" spans="1:368" ht="21.75" customHeight="1" x14ac:dyDescent="0.3">
      <c r="A251" s="4"/>
      <c r="B251" s="4"/>
      <c r="C251" s="6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</row>
    <row r="252" spans="1:368" ht="21.75" customHeight="1" x14ac:dyDescent="0.3">
      <c r="A252" s="4"/>
      <c r="B252" s="4"/>
      <c r="C252" s="6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</row>
    <row r="253" spans="1:368" ht="21.75" customHeight="1" x14ac:dyDescent="0.3">
      <c r="A253" s="4"/>
      <c r="B253" s="4"/>
      <c r="C253" s="6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</row>
    <row r="254" spans="1:368" ht="21.75" customHeight="1" x14ac:dyDescent="0.3">
      <c r="A254" s="4"/>
      <c r="B254" s="4"/>
      <c r="C254" s="6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</row>
    <row r="255" spans="1:368" ht="21.75" customHeight="1" x14ac:dyDescent="0.3">
      <c r="A255" s="4"/>
      <c r="B255" s="4"/>
      <c r="C255" s="6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</row>
    <row r="256" spans="1:368" ht="21.75" customHeight="1" x14ac:dyDescent="0.3">
      <c r="A256" s="4"/>
      <c r="B256" s="4"/>
      <c r="C256" s="6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</row>
    <row r="257" spans="1:368" ht="21.75" customHeight="1" x14ac:dyDescent="0.3">
      <c r="A257" s="4"/>
      <c r="B257" s="4"/>
      <c r="C257" s="6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</row>
    <row r="258" spans="1:368" ht="21.75" customHeight="1" x14ac:dyDescent="0.3">
      <c r="A258" s="4"/>
      <c r="B258" s="4"/>
      <c r="C258" s="6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</row>
    <row r="259" spans="1:368" ht="21.75" customHeight="1" x14ac:dyDescent="0.3">
      <c r="A259" s="4"/>
      <c r="B259" s="4"/>
      <c r="C259" s="6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</row>
    <row r="260" spans="1:368" ht="21.75" customHeight="1" x14ac:dyDescent="0.3">
      <c r="A260" s="4"/>
      <c r="B260" s="4"/>
      <c r="C260" s="6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</row>
    <row r="261" spans="1:368" ht="21.75" customHeight="1" x14ac:dyDescent="0.3">
      <c r="A261" s="4"/>
      <c r="B261" s="4"/>
      <c r="C261" s="6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</row>
    <row r="262" spans="1:368" ht="21.75" customHeight="1" x14ac:dyDescent="0.3">
      <c r="A262" s="4"/>
      <c r="B262" s="4"/>
      <c r="C262" s="6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</row>
    <row r="263" spans="1:368" ht="21.75" customHeight="1" x14ac:dyDescent="0.3">
      <c r="A263" s="4"/>
      <c r="B263" s="4"/>
      <c r="C263" s="6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</row>
    <row r="264" spans="1:368" ht="21.75" customHeight="1" x14ac:dyDescent="0.3">
      <c r="A264" s="4"/>
      <c r="B264" s="4"/>
      <c r="C264" s="6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</row>
    <row r="265" spans="1:368" ht="21.75" customHeight="1" x14ac:dyDescent="0.3">
      <c r="A265" s="4"/>
      <c r="B265" s="4"/>
      <c r="C265" s="6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</row>
    <row r="266" spans="1:368" ht="21.75" customHeight="1" x14ac:dyDescent="0.3">
      <c r="A266" s="4"/>
      <c r="B266" s="4"/>
      <c r="C266" s="6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</row>
    <row r="267" spans="1:368" ht="21.75" customHeight="1" x14ac:dyDescent="0.3">
      <c r="A267" s="4"/>
      <c r="B267" s="4"/>
      <c r="C267" s="6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</row>
    <row r="268" spans="1:368" ht="21.75" customHeight="1" x14ac:dyDescent="0.3">
      <c r="A268" s="4"/>
      <c r="B268" s="4"/>
      <c r="C268" s="6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</row>
    <row r="269" spans="1:368" ht="21.75" customHeight="1" x14ac:dyDescent="0.3">
      <c r="A269" s="4"/>
      <c r="B269" s="4"/>
      <c r="C269" s="6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</row>
    <row r="270" spans="1:368" ht="21.75" customHeight="1" x14ac:dyDescent="0.3">
      <c r="A270" s="4"/>
      <c r="B270" s="4"/>
      <c r="C270" s="6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</row>
    <row r="271" spans="1:368" ht="21.75" customHeight="1" x14ac:dyDescent="0.3">
      <c r="A271" s="4"/>
      <c r="B271" s="4"/>
      <c r="C271" s="6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</row>
    <row r="272" spans="1:368" ht="21.75" customHeight="1" x14ac:dyDescent="0.3">
      <c r="A272" s="4"/>
      <c r="B272" s="4"/>
      <c r="C272" s="6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</row>
    <row r="273" spans="1:368" ht="21.75" customHeight="1" x14ac:dyDescent="0.3">
      <c r="A273" s="4"/>
      <c r="B273" s="4"/>
      <c r="C273" s="6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</row>
    <row r="274" spans="1:368" ht="21.75" customHeight="1" x14ac:dyDescent="0.3">
      <c r="A274" s="4"/>
      <c r="B274" s="4"/>
      <c r="C274" s="6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</row>
    <row r="275" spans="1:368" ht="21.75" customHeight="1" x14ac:dyDescent="0.3">
      <c r="A275" s="4"/>
      <c r="B275" s="4"/>
      <c r="C275" s="6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</row>
    <row r="276" spans="1:368" ht="21.75" customHeight="1" x14ac:dyDescent="0.3">
      <c r="A276" s="4"/>
      <c r="B276" s="4"/>
      <c r="C276" s="6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</row>
    <row r="277" spans="1:368" ht="21.75" customHeight="1" x14ac:dyDescent="0.3">
      <c r="A277" s="4"/>
      <c r="B277" s="4"/>
      <c r="C277" s="6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</row>
    <row r="278" spans="1:368" ht="21.75" customHeight="1" x14ac:dyDescent="0.3">
      <c r="A278" s="4"/>
      <c r="B278" s="4"/>
      <c r="C278" s="6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</row>
    <row r="279" spans="1:368" ht="21.75" customHeight="1" x14ac:dyDescent="0.3">
      <c r="A279" s="4"/>
      <c r="B279" s="4"/>
      <c r="C279" s="6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</row>
    <row r="280" spans="1:368" ht="21.75" customHeight="1" x14ac:dyDescent="0.3">
      <c r="A280" s="4"/>
      <c r="B280" s="4"/>
      <c r="C280" s="6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</row>
    <row r="281" spans="1:368" ht="21.75" customHeight="1" x14ac:dyDescent="0.3">
      <c r="A281" s="4"/>
      <c r="B281" s="4"/>
      <c r="C281" s="6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</row>
    <row r="282" spans="1:368" ht="21.75" customHeight="1" x14ac:dyDescent="0.3">
      <c r="A282" s="4"/>
      <c r="B282" s="4"/>
      <c r="C282" s="6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</row>
    <row r="283" spans="1:368" ht="21.75" customHeight="1" x14ac:dyDescent="0.3">
      <c r="A283" s="4"/>
      <c r="B283" s="4"/>
      <c r="C283" s="6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</row>
    <row r="284" spans="1:368" ht="21.75" customHeight="1" x14ac:dyDescent="0.3">
      <c r="A284" s="4"/>
      <c r="B284" s="4"/>
      <c r="C284" s="6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</row>
    <row r="285" spans="1:368" ht="21.75" customHeight="1" x14ac:dyDescent="0.3">
      <c r="A285" s="4"/>
      <c r="B285" s="4"/>
      <c r="C285" s="6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</row>
    <row r="286" spans="1:368" ht="21.75" customHeight="1" x14ac:dyDescent="0.3">
      <c r="A286" s="4"/>
      <c r="B286" s="4"/>
      <c r="C286" s="6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</row>
    <row r="287" spans="1:368" ht="21.75" customHeight="1" x14ac:dyDescent="0.3">
      <c r="A287" s="4"/>
      <c r="B287" s="4"/>
      <c r="C287" s="6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</row>
    <row r="288" spans="1:368" ht="21.75" customHeight="1" x14ac:dyDescent="0.3">
      <c r="A288" s="4"/>
      <c r="B288" s="4"/>
      <c r="C288" s="6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</row>
    <row r="289" spans="1:368" ht="21.75" customHeight="1" x14ac:dyDescent="0.3">
      <c r="A289" s="4"/>
      <c r="B289" s="4"/>
      <c r="C289" s="6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</row>
    <row r="290" spans="1:368" ht="21.75" customHeight="1" x14ac:dyDescent="0.3">
      <c r="A290" s="4"/>
      <c r="B290" s="4"/>
      <c r="C290" s="6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</row>
    <row r="291" spans="1:368" ht="21.75" customHeight="1" x14ac:dyDescent="0.3">
      <c r="A291" s="4"/>
      <c r="B291" s="4"/>
      <c r="C291" s="6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</row>
    <row r="292" spans="1:368" ht="21.75" customHeight="1" x14ac:dyDescent="0.3">
      <c r="A292" s="4"/>
      <c r="B292" s="4"/>
      <c r="C292" s="6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</row>
    <row r="293" spans="1:368" ht="21.75" customHeight="1" x14ac:dyDescent="0.3">
      <c r="A293" s="4"/>
      <c r="B293" s="4"/>
      <c r="C293" s="6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</row>
    <row r="294" spans="1:368" ht="21.75" customHeight="1" x14ac:dyDescent="0.3">
      <c r="A294" s="4"/>
      <c r="B294" s="4"/>
      <c r="C294" s="6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</row>
    <row r="295" spans="1:368" ht="21.75" customHeight="1" x14ac:dyDescent="0.3">
      <c r="A295" s="4"/>
      <c r="B295" s="4"/>
      <c r="C295" s="6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</row>
    <row r="296" spans="1:368" ht="21.75" customHeight="1" x14ac:dyDescent="0.3">
      <c r="A296" s="4"/>
      <c r="B296" s="4"/>
      <c r="C296" s="6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</row>
    <row r="297" spans="1:368" ht="21.75" customHeight="1" x14ac:dyDescent="0.3">
      <c r="A297" s="4"/>
      <c r="B297" s="4"/>
      <c r="C297" s="6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</row>
    <row r="298" spans="1:368" ht="21.75" customHeight="1" x14ac:dyDescent="0.3">
      <c r="A298" s="4"/>
      <c r="B298" s="4"/>
      <c r="C298" s="6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</row>
    <row r="299" spans="1:368" ht="21.75" customHeight="1" x14ac:dyDescent="0.3">
      <c r="A299" s="4"/>
      <c r="B299" s="4"/>
      <c r="C299" s="6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</row>
    <row r="300" spans="1:368" ht="21.75" customHeight="1" x14ac:dyDescent="0.3">
      <c r="A300" s="4"/>
      <c r="B300" s="4"/>
      <c r="C300" s="6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</row>
    <row r="301" spans="1:368" ht="21.75" customHeight="1" x14ac:dyDescent="0.3">
      <c r="A301" s="4"/>
      <c r="B301" s="4"/>
      <c r="C301" s="6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</row>
    <row r="302" spans="1:368" ht="21.75" customHeight="1" x14ac:dyDescent="0.3">
      <c r="A302" s="4"/>
      <c r="B302" s="4"/>
      <c r="C302" s="6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</row>
    <row r="303" spans="1:368" ht="21.75" customHeight="1" x14ac:dyDescent="0.3">
      <c r="A303" s="4"/>
      <c r="B303" s="4"/>
      <c r="C303" s="6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</row>
    <row r="304" spans="1:368" ht="21.75" customHeight="1" x14ac:dyDescent="0.3">
      <c r="A304" s="4"/>
      <c r="B304" s="4"/>
      <c r="C304" s="6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</row>
    <row r="305" spans="1:368" ht="21.75" customHeight="1" x14ac:dyDescent="0.3">
      <c r="A305" s="4"/>
      <c r="B305" s="4"/>
      <c r="C305" s="6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</row>
    <row r="306" spans="1:368" ht="21.75" customHeight="1" x14ac:dyDescent="0.3">
      <c r="A306" s="4"/>
      <c r="B306" s="4"/>
      <c r="C306" s="6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</row>
    <row r="307" spans="1:368" ht="21.75" customHeight="1" x14ac:dyDescent="0.3">
      <c r="A307" s="4"/>
      <c r="B307" s="4"/>
      <c r="C307" s="6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</row>
    <row r="308" spans="1:368" ht="21.75" customHeight="1" x14ac:dyDescent="0.3">
      <c r="A308" s="4"/>
      <c r="B308" s="4"/>
      <c r="C308" s="6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</row>
    <row r="309" spans="1:368" ht="21.75" customHeight="1" x14ac:dyDescent="0.3">
      <c r="A309" s="4"/>
      <c r="B309" s="4"/>
      <c r="C309" s="6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</row>
    <row r="310" spans="1:368" ht="21.75" customHeight="1" x14ac:dyDescent="0.3">
      <c r="A310" s="4"/>
      <c r="B310" s="4"/>
      <c r="C310" s="6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</row>
    <row r="311" spans="1:368" ht="21.75" customHeight="1" x14ac:dyDescent="0.3">
      <c r="A311" s="4"/>
      <c r="B311" s="4"/>
      <c r="C311" s="6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</row>
    <row r="312" spans="1:368" ht="21.75" customHeight="1" x14ac:dyDescent="0.3">
      <c r="A312" s="4"/>
      <c r="B312" s="4"/>
      <c r="C312" s="6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</row>
    <row r="313" spans="1:368" ht="21.75" customHeight="1" x14ac:dyDescent="0.3">
      <c r="A313" s="4"/>
      <c r="B313" s="4"/>
      <c r="C313" s="6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</row>
    <row r="314" spans="1:368" ht="21.75" customHeight="1" x14ac:dyDescent="0.3">
      <c r="A314" s="4"/>
      <c r="B314" s="4"/>
      <c r="C314" s="6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</row>
    <row r="315" spans="1:368" ht="21.75" customHeight="1" x14ac:dyDescent="0.3">
      <c r="A315" s="4"/>
      <c r="B315" s="4"/>
      <c r="C315" s="6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</row>
    <row r="316" spans="1:368" ht="21.75" customHeight="1" x14ac:dyDescent="0.3">
      <c r="A316" s="4"/>
      <c r="B316" s="4"/>
      <c r="C316" s="6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</row>
    <row r="317" spans="1:368" ht="21.75" customHeight="1" x14ac:dyDescent="0.3">
      <c r="A317" s="4"/>
      <c r="B317" s="4"/>
      <c r="C317" s="6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</row>
    <row r="318" spans="1:368" ht="21.75" customHeight="1" x14ac:dyDescent="0.3">
      <c r="A318" s="4"/>
      <c r="B318" s="4"/>
      <c r="C318" s="6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</row>
    <row r="319" spans="1:368" ht="21.75" customHeight="1" x14ac:dyDescent="0.3">
      <c r="A319" s="4"/>
      <c r="B319" s="4"/>
      <c r="C319" s="6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</row>
    <row r="320" spans="1:368" ht="21.75" customHeight="1" x14ac:dyDescent="0.3">
      <c r="A320" s="4"/>
      <c r="B320" s="4"/>
      <c r="C320" s="6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</row>
    <row r="321" spans="1:368" ht="21.75" customHeight="1" x14ac:dyDescent="0.3">
      <c r="A321" s="4"/>
      <c r="B321" s="4"/>
      <c r="C321" s="6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</row>
    <row r="322" spans="1:368" ht="21.75" customHeight="1" x14ac:dyDescent="0.3">
      <c r="A322" s="4"/>
      <c r="B322" s="4"/>
      <c r="C322" s="6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</row>
    <row r="323" spans="1:368" ht="21.75" customHeight="1" x14ac:dyDescent="0.3">
      <c r="A323" s="4"/>
      <c r="B323" s="4"/>
      <c r="C323" s="6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</row>
    <row r="324" spans="1:368" ht="21.75" customHeight="1" x14ac:dyDescent="0.3">
      <c r="A324" s="4"/>
      <c r="B324" s="4"/>
      <c r="C324" s="6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</row>
    <row r="325" spans="1:368" ht="21.75" customHeight="1" x14ac:dyDescent="0.3">
      <c r="A325" s="4"/>
      <c r="B325" s="4"/>
      <c r="C325" s="6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</row>
    <row r="326" spans="1:368" ht="21.75" customHeight="1" x14ac:dyDescent="0.3">
      <c r="A326" s="4"/>
      <c r="B326" s="4"/>
      <c r="C326" s="6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</row>
    <row r="327" spans="1:368" ht="21.75" customHeight="1" x14ac:dyDescent="0.3">
      <c r="A327" s="4"/>
      <c r="B327" s="4"/>
      <c r="C327" s="6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</row>
    <row r="328" spans="1:368" ht="21.75" customHeight="1" x14ac:dyDescent="0.3">
      <c r="A328" s="4"/>
      <c r="B328" s="4"/>
      <c r="C328" s="6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</row>
    <row r="329" spans="1:368" ht="21.75" customHeight="1" x14ac:dyDescent="0.3">
      <c r="A329" s="4"/>
      <c r="B329" s="4"/>
      <c r="C329" s="6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</row>
    <row r="330" spans="1:368" ht="21.75" customHeight="1" x14ac:dyDescent="0.3">
      <c r="A330" s="4"/>
      <c r="B330" s="4"/>
      <c r="C330" s="6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</row>
    <row r="331" spans="1:368" ht="21.75" customHeight="1" x14ac:dyDescent="0.3">
      <c r="A331" s="4"/>
      <c r="B331" s="4"/>
      <c r="C331" s="6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</row>
    <row r="332" spans="1:368" ht="21.75" customHeight="1" x14ac:dyDescent="0.3">
      <c r="A332" s="4"/>
      <c r="B332" s="4"/>
      <c r="C332" s="6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</row>
    <row r="333" spans="1:368" ht="21.75" customHeight="1" x14ac:dyDescent="0.3">
      <c r="A333" s="4"/>
      <c r="B333" s="4"/>
      <c r="C333" s="6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</row>
    <row r="334" spans="1:368" ht="21.75" customHeight="1" x14ac:dyDescent="0.3">
      <c r="A334" s="4"/>
      <c r="B334" s="4"/>
      <c r="C334" s="6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</row>
    <row r="335" spans="1:368" ht="21.75" customHeight="1" x14ac:dyDescent="0.3">
      <c r="A335" s="4"/>
      <c r="B335" s="4"/>
      <c r="C335" s="6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</row>
    <row r="336" spans="1:368" ht="21.75" customHeight="1" x14ac:dyDescent="0.3">
      <c r="A336" s="4"/>
      <c r="B336" s="4"/>
      <c r="C336" s="6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</row>
    <row r="337" spans="1:368" ht="21.75" customHeight="1" x14ac:dyDescent="0.3">
      <c r="A337" s="4"/>
      <c r="B337" s="4"/>
      <c r="C337" s="6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</row>
    <row r="338" spans="1:368" ht="21.75" customHeight="1" x14ac:dyDescent="0.3">
      <c r="A338" s="4"/>
      <c r="B338" s="4"/>
      <c r="C338" s="6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</row>
    <row r="339" spans="1:368" ht="21.75" customHeight="1" x14ac:dyDescent="0.3">
      <c r="A339" s="4"/>
      <c r="B339" s="4"/>
      <c r="C339" s="6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</row>
    <row r="340" spans="1:368" ht="21.75" customHeight="1" x14ac:dyDescent="0.3">
      <c r="A340" s="4"/>
      <c r="B340" s="4"/>
      <c r="C340" s="6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</row>
    <row r="341" spans="1:368" ht="21.75" customHeight="1" x14ac:dyDescent="0.3">
      <c r="A341" s="4"/>
      <c r="B341" s="4"/>
      <c r="C341" s="6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</row>
    <row r="342" spans="1:368" ht="21.75" customHeight="1" x14ac:dyDescent="0.3">
      <c r="A342" s="4"/>
      <c r="B342" s="4"/>
      <c r="C342" s="6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</row>
    <row r="343" spans="1:368" ht="21.75" customHeight="1" x14ac:dyDescent="0.3">
      <c r="A343" s="4"/>
      <c r="B343" s="4"/>
      <c r="C343" s="6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</row>
    <row r="344" spans="1:368" ht="21.75" customHeight="1" x14ac:dyDescent="0.3">
      <c r="A344" s="4"/>
      <c r="B344" s="4"/>
      <c r="C344" s="6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</row>
    <row r="345" spans="1:368" ht="21.75" customHeight="1" x14ac:dyDescent="0.3">
      <c r="A345" s="4"/>
      <c r="B345" s="4"/>
      <c r="C345" s="6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</row>
    <row r="346" spans="1:368" ht="21.75" customHeight="1" x14ac:dyDescent="0.3">
      <c r="A346" s="4"/>
      <c r="B346" s="4"/>
      <c r="C346" s="6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</row>
    <row r="347" spans="1:368" ht="21.75" customHeight="1" x14ac:dyDescent="0.3">
      <c r="A347" s="4"/>
      <c r="B347" s="4"/>
      <c r="C347" s="6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</row>
    <row r="348" spans="1:368" ht="21.75" customHeight="1" x14ac:dyDescent="0.3">
      <c r="A348" s="4"/>
      <c r="B348" s="4"/>
      <c r="C348" s="6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</row>
    <row r="349" spans="1:368" ht="21.75" customHeight="1" x14ac:dyDescent="0.3">
      <c r="A349" s="4"/>
      <c r="B349" s="4"/>
      <c r="C349" s="6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</row>
    <row r="350" spans="1:368" ht="21.75" customHeight="1" x14ac:dyDescent="0.3">
      <c r="A350" s="4"/>
      <c r="B350" s="4"/>
      <c r="C350" s="6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</row>
    <row r="351" spans="1:368" ht="21.75" customHeight="1" x14ac:dyDescent="0.3">
      <c r="A351" s="4"/>
      <c r="B351" s="4"/>
      <c r="C351" s="6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</row>
    <row r="352" spans="1:368" ht="21.75" customHeight="1" x14ac:dyDescent="0.3">
      <c r="A352" s="4"/>
      <c r="B352" s="4"/>
      <c r="C352" s="6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</row>
    <row r="353" spans="1:368" ht="21.75" customHeight="1" x14ac:dyDescent="0.3">
      <c r="A353" s="4"/>
      <c r="B353" s="4"/>
      <c r="C353" s="6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</row>
    <row r="354" spans="1:368" ht="21.75" customHeight="1" x14ac:dyDescent="0.3">
      <c r="A354" s="4"/>
      <c r="B354" s="4"/>
      <c r="C354" s="6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</row>
    <row r="355" spans="1:368" ht="21.75" customHeight="1" x14ac:dyDescent="0.3">
      <c r="A355" s="4"/>
      <c r="B355" s="4"/>
      <c r="C355" s="6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</row>
    <row r="356" spans="1:368" ht="21.75" customHeight="1" x14ac:dyDescent="0.3">
      <c r="A356" s="4"/>
      <c r="B356" s="4"/>
      <c r="C356" s="6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</row>
    <row r="357" spans="1:368" ht="21.75" customHeight="1" x14ac:dyDescent="0.3">
      <c r="A357" s="4"/>
      <c r="B357" s="4"/>
      <c r="C357" s="6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</row>
    <row r="358" spans="1:368" ht="21.75" customHeight="1" x14ac:dyDescent="0.3">
      <c r="A358" s="4"/>
      <c r="B358" s="4"/>
      <c r="C358" s="6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</row>
    <row r="359" spans="1:368" ht="21.75" customHeight="1" x14ac:dyDescent="0.3">
      <c r="A359" s="4"/>
      <c r="B359" s="4"/>
      <c r="C359" s="6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</row>
    <row r="360" spans="1:368" ht="21.75" customHeight="1" x14ac:dyDescent="0.3">
      <c r="A360" s="4"/>
      <c r="B360" s="4"/>
      <c r="C360" s="6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</row>
    <row r="361" spans="1:368" ht="21.75" customHeight="1" x14ac:dyDescent="0.3">
      <c r="A361" s="4"/>
      <c r="B361" s="4"/>
      <c r="C361" s="6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</row>
    <row r="362" spans="1:368" ht="21.75" customHeight="1" x14ac:dyDescent="0.3">
      <c r="A362" s="4"/>
      <c r="B362" s="4"/>
      <c r="C362" s="6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</row>
    <row r="363" spans="1:368" ht="21.75" customHeight="1" x14ac:dyDescent="0.3">
      <c r="A363" s="4"/>
      <c r="B363" s="4"/>
      <c r="C363" s="6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</row>
    <row r="364" spans="1:368" ht="21.75" customHeight="1" x14ac:dyDescent="0.3">
      <c r="A364" s="4"/>
      <c r="B364" s="4"/>
      <c r="C364" s="6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</row>
    <row r="365" spans="1:368" ht="21.75" customHeight="1" x14ac:dyDescent="0.3">
      <c r="A365" s="4"/>
      <c r="B365" s="4"/>
      <c r="C365" s="6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</row>
    <row r="366" spans="1:368" ht="21.75" customHeight="1" x14ac:dyDescent="0.3">
      <c r="A366" s="4"/>
      <c r="B366" s="4"/>
      <c r="C366" s="6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</row>
    <row r="367" spans="1:368" ht="21.75" customHeight="1" x14ac:dyDescent="0.3">
      <c r="A367" s="4"/>
      <c r="B367" s="4"/>
      <c r="C367" s="6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</row>
    <row r="368" spans="1:368" ht="21.75" customHeight="1" x14ac:dyDescent="0.3">
      <c r="A368" s="4"/>
      <c r="B368" s="4"/>
      <c r="C368" s="6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</row>
    <row r="369" spans="1:368" ht="21.75" customHeight="1" x14ac:dyDescent="0.3">
      <c r="A369" s="4"/>
      <c r="B369" s="4"/>
      <c r="C369" s="6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</row>
    <row r="370" spans="1:368" ht="21.75" customHeight="1" x14ac:dyDescent="0.3">
      <c r="A370" s="4"/>
      <c r="B370" s="4"/>
      <c r="C370" s="6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</row>
    <row r="371" spans="1:368" ht="21.75" customHeight="1" x14ac:dyDescent="0.3">
      <c r="A371" s="4"/>
      <c r="B371" s="4"/>
      <c r="C371" s="6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</row>
    <row r="372" spans="1:368" ht="21.75" customHeight="1" x14ac:dyDescent="0.3">
      <c r="A372" s="4"/>
      <c r="B372" s="4"/>
      <c r="C372" s="6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</row>
    <row r="373" spans="1:368" ht="21.75" customHeight="1" x14ac:dyDescent="0.3">
      <c r="A373" s="4"/>
      <c r="B373" s="4"/>
      <c r="C373" s="6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</row>
    <row r="374" spans="1:368" ht="21.75" customHeight="1" x14ac:dyDescent="0.3">
      <c r="A374" s="4"/>
      <c r="B374" s="4"/>
      <c r="C374" s="6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</row>
    <row r="375" spans="1:368" ht="21.75" customHeight="1" x14ac:dyDescent="0.3">
      <c r="A375" s="4"/>
      <c r="B375" s="4"/>
      <c r="C375" s="6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</row>
    <row r="376" spans="1:368" ht="21.75" customHeight="1" x14ac:dyDescent="0.3">
      <c r="A376" s="4"/>
      <c r="B376" s="4"/>
      <c r="C376" s="6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</row>
    <row r="377" spans="1:368" ht="21.75" customHeight="1" x14ac:dyDescent="0.3">
      <c r="A377" s="4"/>
      <c r="B377" s="4"/>
      <c r="C377" s="6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</row>
    <row r="378" spans="1:368" ht="21.75" customHeight="1" x14ac:dyDescent="0.3">
      <c r="A378" s="4"/>
      <c r="B378" s="4"/>
      <c r="C378" s="6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</row>
    <row r="379" spans="1:368" ht="21.75" customHeight="1" x14ac:dyDescent="0.3">
      <c r="A379" s="4"/>
      <c r="B379" s="4"/>
      <c r="C379" s="6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</row>
    <row r="380" spans="1:368" ht="21.75" customHeight="1" x14ac:dyDescent="0.3">
      <c r="A380" s="4"/>
      <c r="B380" s="4"/>
      <c r="C380" s="6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</row>
    <row r="381" spans="1:368" ht="21.75" customHeight="1" x14ac:dyDescent="0.3">
      <c r="A381" s="4"/>
      <c r="B381" s="4"/>
      <c r="C381" s="6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</row>
    <row r="382" spans="1:368" ht="21.75" customHeight="1" x14ac:dyDescent="0.3">
      <c r="A382" s="4"/>
      <c r="B382" s="4"/>
      <c r="C382" s="6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</row>
    <row r="383" spans="1:368" ht="21.75" customHeight="1" x14ac:dyDescent="0.3">
      <c r="A383" s="4"/>
      <c r="B383" s="4"/>
      <c r="C383" s="6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</row>
    <row r="384" spans="1:368" ht="21.75" customHeight="1" x14ac:dyDescent="0.3">
      <c r="A384" s="4"/>
      <c r="B384" s="4"/>
      <c r="C384" s="6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</row>
    <row r="385" spans="1:368" ht="21.75" customHeight="1" x14ac:dyDescent="0.3">
      <c r="A385" s="4"/>
      <c r="B385" s="4"/>
      <c r="C385" s="6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</row>
    <row r="386" spans="1:368" ht="21.75" customHeight="1" x14ac:dyDescent="0.3">
      <c r="A386" s="4"/>
      <c r="B386" s="4"/>
      <c r="C386" s="6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</row>
    <row r="387" spans="1:368" ht="21.75" customHeight="1" x14ac:dyDescent="0.3">
      <c r="A387" s="4"/>
      <c r="B387" s="4"/>
      <c r="C387" s="6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</row>
    <row r="388" spans="1:368" ht="21.75" customHeight="1" x14ac:dyDescent="0.3">
      <c r="A388" s="4"/>
      <c r="B388" s="4"/>
      <c r="C388" s="6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</row>
    <row r="389" spans="1:368" ht="21.75" customHeight="1" x14ac:dyDescent="0.3">
      <c r="A389" s="4"/>
      <c r="B389" s="4"/>
      <c r="C389" s="6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</row>
    <row r="390" spans="1:368" ht="21.75" customHeight="1" x14ac:dyDescent="0.3">
      <c r="A390" s="4"/>
      <c r="B390" s="4"/>
      <c r="C390" s="6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</row>
    <row r="391" spans="1:368" ht="21.75" customHeight="1" x14ac:dyDescent="0.3">
      <c r="A391" s="4"/>
      <c r="B391" s="4"/>
      <c r="C391" s="6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</row>
    <row r="392" spans="1:368" ht="21.75" customHeight="1" x14ac:dyDescent="0.3">
      <c r="A392" s="4"/>
      <c r="B392" s="4"/>
      <c r="C392" s="6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</row>
    <row r="393" spans="1:368" ht="21.75" customHeight="1" x14ac:dyDescent="0.3">
      <c r="A393" s="4"/>
      <c r="B393" s="4"/>
      <c r="C393" s="6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</row>
    <row r="394" spans="1:368" ht="21.75" customHeight="1" x14ac:dyDescent="0.3">
      <c r="A394" s="4"/>
      <c r="B394" s="4"/>
      <c r="C394" s="6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</row>
    <row r="395" spans="1:368" ht="21.75" customHeight="1" x14ac:dyDescent="0.3">
      <c r="A395" s="4"/>
      <c r="B395" s="4"/>
      <c r="C395" s="6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</row>
    <row r="396" spans="1:368" ht="21.75" customHeight="1" x14ac:dyDescent="0.3">
      <c r="A396" s="4"/>
      <c r="B396" s="4"/>
      <c r="C396" s="6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</row>
    <row r="397" spans="1:368" ht="21.75" customHeight="1" x14ac:dyDescent="0.3">
      <c r="A397" s="4"/>
      <c r="B397" s="4"/>
      <c r="C397" s="6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</row>
    <row r="398" spans="1:368" ht="21.75" customHeight="1" x14ac:dyDescent="0.3">
      <c r="A398" s="4"/>
      <c r="B398" s="4"/>
      <c r="C398" s="6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</row>
    <row r="399" spans="1:368" ht="21.75" customHeight="1" x14ac:dyDescent="0.3">
      <c r="A399" s="4"/>
      <c r="B399" s="4"/>
      <c r="C399" s="6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</row>
    <row r="400" spans="1:368" ht="21.75" customHeight="1" x14ac:dyDescent="0.3">
      <c r="A400" s="4"/>
      <c r="B400" s="4"/>
      <c r="C400" s="6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</row>
    <row r="401" spans="1:368" ht="21.75" customHeight="1" x14ac:dyDescent="0.3">
      <c r="A401" s="4"/>
      <c r="B401" s="4"/>
      <c r="C401" s="6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</row>
    <row r="402" spans="1:368" ht="21.75" customHeight="1" x14ac:dyDescent="0.3">
      <c r="A402" s="4"/>
      <c r="B402" s="4"/>
      <c r="C402" s="6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</row>
    <row r="403" spans="1:368" ht="21.75" customHeight="1" x14ac:dyDescent="0.3">
      <c r="A403" s="4"/>
      <c r="B403" s="4"/>
      <c r="C403" s="6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</row>
    <row r="404" spans="1:368" ht="21.75" customHeight="1" x14ac:dyDescent="0.3">
      <c r="A404" s="4"/>
      <c r="B404" s="4"/>
      <c r="C404" s="6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</row>
    <row r="405" spans="1:368" ht="21.75" customHeight="1" x14ac:dyDescent="0.3">
      <c r="A405" s="4"/>
      <c r="B405" s="4"/>
      <c r="C405" s="6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</row>
    <row r="406" spans="1:368" ht="21.75" customHeight="1" x14ac:dyDescent="0.3">
      <c r="A406" s="4"/>
      <c r="B406" s="4"/>
      <c r="C406" s="6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</row>
    <row r="407" spans="1:368" ht="21.75" customHeight="1" x14ac:dyDescent="0.3">
      <c r="A407" s="4"/>
      <c r="B407" s="4"/>
      <c r="C407" s="6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</row>
    <row r="408" spans="1:368" ht="21.75" customHeight="1" x14ac:dyDescent="0.3">
      <c r="A408" s="4"/>
      <c r="B408" s="4"/>
      <c r="C408" s="6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</row>
    <row r="409" spans="1:368" ht="21.75" customHeight="1" x14ac:dyDescent="0.3">
      <c r="A409" s="4"/>
      <c r="B409" s="4"/>
      <c r="C409" s="6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/>
      <c r="KS409" s="11"/>
      <c r="KT409" s="11"/>
      <c r="KU409" s="11"/>
      <c r="KV409" s="11"/>
      <c r="KW409" s="11"/>
      <c r="KX409" s="11"/>
      <c r="KY409" s="11"/>
      <c r="KZ409" s="11"/>
      <c r="LA409" s="11"/>
      <c r="LB409" s="11"/>
      <c r="LC409" s="11"/>
      <c r="LD409" s="11"/>
      <c r="LE409" s="11"/>
      <c r="LF409" s="11"/>
      <c r="LG409" s="11"/>
      <c r="LH409" s="11"/>
      <c r="LI409" s="11"/>
      <c r="LJ409" s="11"/>
      <c r="LK409" s="11"/>
      <c r="LL409" s="11"/>
      <c r="LM409" s="11"/>
      <c r="LN409" s="11"/>
      <c r="LO409" s="11"/>
      <c r="LP409" s="11"/>
      <c r="LQ409" s="11"/>
      <c r="LR409" s="11"/>
      <c r="LS409" s="11"/>
      <c r="LT409" s="11"/>
      <c r="LU409" s="11"/>
      <c r="LV409" s="11"/>
      <c r="LW409" s="11"/>
      <c r="LX409" s="11"/>
      <c r="LY409" s="11"/>
      <c r="LZ409" s="11"/>
      <c r="MA409" s="11"/>
      <c r="MB409" s="11"/>
      <c r="MC409" s="11"/>
      <c r="MD409" s="11"/>
      <c r="ME409" s="11"/>
      <c r="MF409" s="11"/>
      <c r="MG409" s="11"/>
      <c r="MH409" s="11"/>
      <c r="MI409" s="11"/>
      <c r="MJ409" s="11"/>
      <c r="MK409" s="11"/>
      <c r="ML409" s="11"/>
      <c r="MM409" s="11"/>
      <c r="MN409" s="11"/>
      <c r="MO409" s="11"/>
      <c r="MP409" s="11"/>
      <c r="MQ409" s="11"/>
      <c r="MR409" s="11"/>
      <c r="MS409" s="11"/>
      <c r="MT409" s="11"/>
      <c r="MU409" s="11"/>
      <c r="MV409" s="11"/>
      <c r="MW409" s="11"/>
      <c r="MX409" s="11"/>
      <c r="MY409" s="11"/>
      <c r="MZ409" s="11"/>
      <c r="NA409" s="11"/>
      <c r="NB409" s="11"/>
      <c r="NC409" s="11"/>
      <c r="ND409" s="11"/>
    </row>
    <row r="410" spans="1:368" ht="21.75" customHeight="1" x14ac:dyDescent="0.3">
      <c r="A410" s="4"/>
      <c r="B410" s="4"/>
      <c r="C410" s="6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/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  <c r="MN410" s="11"/>
      <c r="MO410" s="11"/>
      <c r="MP410" s="11"/>
      <c r="MQ410" s="11"/>
      <c r="MR410" s="11"/>
      <c r="MS410" s="11"/>
      <c r="MT410" s="11"/>
      <c r="MU410" s="11"/>
      <c r="MV410" s="11"/>
      <c r="MW410" s="11"/>
      <c r="MX410" s="11"/>
      <c r="MY410" s="11"/>
      <c r="MZ410" s="11"/>
      <c r="NA410" s="11"/>
      <c r="NB410" s="11"/>
      <c r="NC410" s="11"/>
      <c r="ND410" s="11"/>
    </row>
    <row r="411" spans="1:368" ht="21.75" customHeight="1" x14ac:dyDescent="0.3">
      <c r="A411" s="4"/>
      <c r="B411" s="4"/>
      <c r="C411" s="6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  <c r="HM411" s="11"/>
      <c r="HN411" s="11"/>
      <c r="HO411" s="11"/>
      <c r="HP411" s="11"/>
      <c r="HQ411" s="11"/>
      <c r="HR411" s="11"/>
      <c r="HS411" s="11"/>
      <c r="HT411" s="11"/>
      <c r="HU411" s="11"/>
      <c r="HV411" s="11"/>
      <c r="HW411" s="11"/>
      <c r="HX411" s="11"/>
      <c r="HY411" s="11"/>
      <c r="HZ411" s="11"/>
      <c r="IA411" s="11"/>
      <c r="IB411" s="11"/>
      <c r="IC411" s="11"/>
      <c r="ID411" s="11"/>
      <c r="IE411" s="11"/>
      <c r="IF411" s="11"/>
      <c r="IG411" s="11"/>
      <c r="IH411" s="11"/>
      <c r="II411" s="11"/>
      <c r="IJ411" s="11"/>
      <c r="IK411" s="11"/>
      <c r="IL411" s="11"/>
      <c r="IM411" s="11"/>
      <c r="IN411" s="11"/>
      <c r="IO411" s="11"/>
      <c r="IP411" s="11"/>
      <c r="IQ411" s="11"/>
      <c r="IR411" s="11"/>
      <c r="IS411" s="11"/>
      <c r="IT411" s="11"/>
      <c r="IU411" s="11"/>
      <c r="IV411" s="11"/>
      <c r="IW411" s="11"/>
      <c r="IX411" s="11"/>
      <c r="IY411" s="11"/>
      <c r="IZ411" s="11"/>
      <c r="JA411" s="11"/>
      <c r="JB411" s="11"/>
      <c r="JC411" s="11"/>
      <c r="JD411" s="11"/>
      <c r="JE411" s="11"/>
      <c r="JF411" s="11"/>
      <c r="JG411" s="11"/>
      <c r="JH411" s="11"/>
      <c r="JI411" s="11"/>
      <c r="JJ411" s="11"/>
      <c r="JK411" s="11"/>
      <c r="JL411" s="11"/>
      <c r="JM411" s="11"/>
      <c r="JN411" s="11"/>
      <c r="JO411" s="11"/>
      <c r="JP411" s="11"/>
      <c r="JQ411" s="11"/>
      <c r="JR411" s="11"/>
      <c r="JS411" s="11"/>
      <c r="JT411" s="11"/>
      <c r="JU411" s="11"/>
      <c r="JV411" s="11"/>
      <c r="JW411" s="11"/>
      <c r="JX411" s="11"/>
      <c r="JY411" s="11"/>
      <c r="JZ411" s="11"/>
      <c r="KA411" s="11"/>
      <c r="KB411" s="11"/>
      <c r="KC411" s="11"/>
      <c r="KD411" s="11"/>
      <c r="KE411" s="11"/>
      <c r="KF411" s="11"/>
      <c r="KG411" s="11"/>
      <c r="KH411" s="11"/>
      <c r="KI411" s="11"/>
      <c r="KJ411" s="11"/>
      <c r="KK411" s="11"/>
      <c r="KL411" s="11"/>
      <c r="KM411" s="11"/>
      <c r="KN411" s="11"/>
      <c r="KO411" s="11"/>
      <c r="KP411" s="11"/>
      <c r="KQ411" s="11"/>
      <c r="KR411" s="11"/>
      <c r="KS411" s="11"/>
      <c r="KT411" s="11"/>
      <c r="KU411" s="11"/>
      <c r="KV411" s="11"/>
      <c r="KW411" s="11"/>
      <c r="KX411" s="11"/>
      <c r="KY411" s="11"/>
      <c r="KZ411" s="11"/>
      <c r="LA411" s="11"/>
      <c r="LB411" s="11"/>
      <c r="LC411" s="11"/>
      <c r="LD411" s="11"/>
      <c r="LE411" s="11"/>
      <c r="LF411" s="11"/>
      <c r="LG411" s="11"/>
      <c r="LH411" s="11"/>
      <c r="LI411" s="11"/>
      <c r="LJ411" s="11"/>
      <c r="LK411" s="11"/>
      <c r="LL411" s="11"/>
      <c r="LM411" s="11"/>
      <c r="LN411" s="11"/>
      <c r="LO411" s="11"/>
      <c r="LP411" s="11"/>
      <c r="LQ411" s="11"/>
      <c r="LR411" s="11"/>
      <c r="LS411" s="11"/>
      <c r="LT411" s="11"/>
      <c r="LU411" s="11"/>
      <c r="LV411" s="11"/>
      <c r="LW411" s="11"/>
      <c r="LX411" s="11"/>
      <c r="LY411" s="11"/>
      <c r="LZ411" s="11"/>
      <c r="MA411" s="11"/>
      <c r="MB411" s="11"/>
      <c r="MC411" s="11"/>
      <c r="MD411" s="11"/>
      <c r="ME411" s="11"/>
      <c r="MF411" s="11"/>
      <c r="MG411" s="11"/>
      <c r="MH411" s="11"/>
      <c r="MI411" s="11"/>
      <c r="MJ411" s="11"/>
      <c r="MK411" s="11"/>
      <c r="ML411" s="11"/>
      <c r="MM411" s="11"/>
      <c r="MN411" s="11"/>
      <c r="MO411" s="11"/>
      <c r="MP411" s="11"/>
      <c r="MQ411" s="11"/>
      <c r="MR411" s="11"/>
      <c r="MS411" s="11"/>
      <c r="MT411" s="11"/>
      <c r="MU411" s="11"/>
      <c r="MV411" s="11"/>
      <c r="MW411" s="11"/>
      <c r="MX411" s="11"/>
      <c r="MY411" s="11"/>
      <c r="MZ411" s="11"/>
      <c r="NA411" s="11"/>
      <c r="NB411" s="11"/>
      <c r="NC411" s="11"/>
      <c r="ND411" s="11"/>
    </row>
    <row r="412" spans="1:368" ht="21.75" customHeight="1" x14ac:dyDescent="0.3">
      <c r="A412" s="4"/>
      <c r="B412" s="4"/>
      <c r="C412" s="6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  <c r="HO412" s="11"/>
      <c r="HP412" s="11"/>
      <c r="HQ412" s="11"/>
      <c r="HR412" s="11"/>
      <c r="HS412" s="11"/>
      <c r="HT412" s="11"/>
      <c r="HU412" s="11"/>
      <c r="HV412" s="11"/>
      <c r="HW412" s="11"/>
      <c r="HX412" s="11"/>
      <c r="HY412" s="11"/>
      <c r="HZ412" s="11"/>
      <c r="IA412" s="11"/>
      <c r="IB412" s="11"/>
      <c r="IC412" s="11"/>
      <c r="ID412" s="11"/>
      <c r="IE412" s="11"/>
      <c r="IF412" s="11"/>
      <c r="IG412" s="11"/>
      <c r="IH412" s="11"/>
      <c r="II412" s="11"/>
      <c r="IJ412" s="11"/>
      <c r="IK412" s="11"/>
      <c r="IL412" s="11"/>
      <c r="IM412" s="11"/>
      <c r="IN412" s="11"/>
      <c r="IO412" s="11"/>
      <c r="IP412" s="11"/>
      <c r="IQ412" s="11"/>
      <c r="IR412" s="11"/>
      <c r="IS412" s="11"/>
      <c r="IT412" s="11"/>
      <c r="IU412" s="11"/>
      <c r="IV412" s="11"/>
      <c r="IW412" s="11"/>
      <c r="IX412" s="11"/>
      <c r="IY412" s="11"/>
      <c r="IZ412" s="11"/>
      <c r="JA412" s="11"/>
      <c r="JB412" s="11"/>
      <c r="JC412" s="11"/>
      <c r="JD412" s="11"/>
      <c r="JE412" s="11"/>
      <c r="JF412" s="11"/>
      <c r="JG412" s="11"/>
      <c r="JH412" s="11"/>
      <c r="JI412" s="11"/>
      <c r="JJ412" s="11"/>
      <c r="JK412" s="11"/>
      <c r="JL412" s="11"/>
      <c r="JM412" s="11"/>
      <c r="JN412" s="11"/>
      <c r="JO412" s="11"/>
      <c r="JP412" s="11"/>
      <c r="JQ412" s="11"/>
      <c r="JR412" s="11"/>
      <c r="JS412" s="11"/>
      <c r="JT412" s="11"/>
      <c r="JU412" s="11"/>
      <c r="JV412" s="11"/>
      <c r="JW412" s="11"/>
      <c r="JX412" s="11"/>
      <c r="JY412" s="11"/>
      <c r="JZ412" s="11"/>
      <c r="KA412" s="11"/>
      <c r="KB412" s="11"/>
      <c r="KC412" s="11"/>
      <c r="KD412" s="11"/>
      <c r="KE412" s="11"/>
      <c r="KF412" s="11"/>
      <c r="KG412" s="11"/>
      <c r="KH412" s="11"/>
      <c r="KI412" s="11"/>
      <c r="KJ412" s="11"/>
      <c r="KK412" s="11"/>
      <c r="KL412" s="11"/>
      <c r="KM412" s="11"/>
      <c r="KN412" s="11"/>
      <c r="KO412" s="11"/>
      <c r="KP412" s="11"/>
      <c r="KQ412" s="11"/>
      <c r="KR412" s="11"/>
      <c r="KS412" s="11"/>
      <c r="KT412" s="11"/>
      <c r="KU412" s="11"/>
      <c r="KV412" s="11"/>
      <c r="KW412" s="11"/>
      <c r="KX412" s="11"/>
      <c r="KY412" s="11"/>
      <c r="KZ412" s="11"/>
      <c r="LA412" s="11"/>
      <c r="LB412" s="11"/>
      <c r="LC412" s="11"/>
      <c r="LD412" s="11"/>
      <c r="LE412" s="11"/>
      <c r="LF412" s="11"/>
      <c r="LG412" s="11"/>
      <c r="LH412" s="11"/>
      <c r="LI412" s="11"/>
      <c r="LJ412" s="11"/>
      <c r="LK412" s="11"/>
      <c r="LL412" s="11"/>
      <c r="LM412" s="11"/>
      <c r="LN412" s="11"/>
      <c r="LO412" s="11"/>
      <c r="LP412" s="11"/>
      <c r="LQ412" s="11"/>
      <c r="LR412" s="11"/>
      <c r="LS412" s="11"/>
      <c r="LT412" s="11"/>
      <c r="LU412" s="11"/>
      <c r="LV412" s="11"/>
      <c r="LW412" s="11"/>
      <c r="LX412" s="11"/>
      <c r="LY412" s="11"/>
      <c r="LZ412" s="11"/>
      <c r="MA412" s="11"/>
      <c r="MB412" s="11"/>
      <c r="MC412" s="11"/>
      <c r="MD412" s="11"/>
      <c r="ME412" s="11"/>
      <c r="MF412" s="11"/>
      <c r="MG412" s="11"/>
      <c r="MH412" s="11"/>
      <c r="MI412" s="11"/>
      <c r="MJ412" s="11"/>
      <c r="MK412" s="11"/>
      <c r="ML412" s="11"/>
      <c r="MM412" s="11"/>
      <c r="MN412" s="11"/>
      <c r="MO412" s="11"/>
      <c r="MP412" s="11"/>
      <c r="MQ412" s="11"/>
      <c r="MR412" s="11"/>
      <c r="MS412" s="11"/>
      <c r="MT412" s="11"/>
      <c r="MU412" s="11"/>
      <c r="MV412" s="11"/>
      <c r="MW412" s="11"/>
      <c r="MX412" s="11"/>
      <c r="MY412" s="11"/>
      <c r="MZ412" s="11"/>
      <c r="NA412" s="11"/>
      <c r="NB412" s="11"/>
      <c r="NC412" s="11"/>
      <c r="ND412" s="11"/>
    </row>
    <row r="413" spans="1:368" ht="21.75" customHeight="1" x14ac:dyDescent="0.3">
      <c r="A413" s="4"/>
      <c r="B413" s="4"/>
      <c r="C413" s="6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  <c r="GP413" s="11"/>
      <c r="GQ413" s="11"/>
      <c r="GR413" s="11"/>
      <c r="GS413" s="11"/>
      <c r="GT413" s="11"/>
      <c r="GU413" s="11"/>
      <c r="GV413" s="11"/>
      <c r="GW413" s="11"/>
      <c r="GX413" s="11"/>
      <c r="GY413" s="11"/>
      <c r="GZ413" s="11"/>
      <c r="HA413" s="11"/>
      <c r="HB413" s="11"/>
      <c r="HC413" s="11"/>
      <c r="HD413" s="11"/>
      <c r="HE413" s="11"/>
      <c r="HF413" s="11"/>
      <c r="HG413" s="11"/>
      <c r="HH413" s="11"/>
      <c r="HI413" s="11"/>
      <c r="HJ413" s="11"/>
      <c r="HK413" s="11"/>
      <c r="HL413" s="11"/>
      <c r="HM413" s="11"/>
      <c r="HN413" s="11"/>
      <c r="HO413" s="11"/>
      <c r="HP413" s="11"/>
      <c r="HQ413" s="11"/>
      <c r="HR413" s="11"/>
      <c r="HS413" s="11"/>
      <c r="HT413" s="11"/>
      <c r="HU413" s="11"/>
      <c r="HV413" s="11"/>
      <c r="HW413" s="11"/>
      <c r="HX413" s="11"/>
      <c r="HY413" s="11"/>
      <c r="HZ413" s="11"/>
      <c r="IA413" s="11"/>
      <c r="IB413" s="11"/>
      <c r="IC413" s="11"/>
      <c r="ID413" s="11"/>
      <c r="IE413" s="11"/>
      <c r="IF413" s="11"/>
      <c r="IG413" s="11"/>
      <c r="IH413" s="11"/>
      <c r="II413" s="11"/>
      <c r="IJ413" s="11"/>
      <c r="IK413" s="11"/>
      <c r="IL413" s="11"/>
      <c r="IM413" s="11"/>
      <c r="IN413" s="11"/>
      <c r="IO413" s="11"/>
      <c r="IP413" s="11"/>
      <c r="IQ413" s="11"/>
      <c r="IR413" s="11"/>
      <c r="IS413" s="11"/>
      <c r="IT413" s="11"/>
      <c r="IU413" s="11"/>
      <c r="IV413" s="11"/>
      <c r="IW413" s="11"/>
      <c r="IX413" s="11"/>
      <c r="IY413" s="11"/>
      <c r="IZ413" s="11"/>
      <c r="JA413" s="11"/>
      <c r="JB413" s="11"/>
      <c r="JC413" s="11"/>
      <c r="JD413" s="11"/>
      <c r="JE413" s="11"/>
      <c r="JF413" s="11"/>
      <c r="JG413" s="11"/>
      <c r="JH413" s="11"/>
      <c r="JI413" s="11"/>
      <c r="JJ413" s="11"/>
      <c r="JK413" s="11"/>
      <c r="JL413" s="11"/>
      <c r="JM413" s="11"/>
      <c r="JN413" s="11"/>
      <c r="JO413" s="11"/>
      <c r="JP413" s="11"/>
      <c r="JQ413" s="11"/>
      <c r="JR413" s="11"/>
      <c r="JS413" s="11"/>
      <c r="JT413" s="11"/>
      <c r="JU413" s="11"/>
      <c r="JV413" s="11"/>
      <c r="JW413" s="11"/>
      <c r="JX413" s="11"/>
      <c r="JY413" s="11"/>
      <c r="JZ413" s="11"/>
      <c r="KA413" s="11"/>
      <c r="KB413" s="11"/>
      <c r="KC413" s="11"/>
      <c r="KD413" s="11"/>
      <c r="KE413" s="11"/>
      <c r="KF413" s="11"/>
      <c r="KG413" s="11"/>
      <c r="KH413" s="11"/>
      <c r="KI413" s="11"/>
      <c r="KJ413" s="11"/>
      <c r="KK413" s="11"/>
      <c r="KL413" s="11"/>
      <c r="KM413" s="11"/>
      <c r="KN413" s="11"/>
      <c r="KO413" s="11"/>
      <c r="KP413" s="11"/>
      <c r="KQ413" s="11"/>
      <c r="KR413" s="11"/>
      <c r="KS413" s="11"/>
      <c r="KT413" s="11"/>
      <c r="KU413" s="11"/>
      <c r="KV413" s="11"/>
      <c r="KW413" s="11"/>
      <c r="KX413" s="11"/>
      <c r="KY413" s="11"/>
      <c r="KZ413" s="11"/>
      <c r="LA413" s="11"/>
      <c r="LB413" s="11"/>
      <c r="LC413" s="11"/>
      <c r="LD413" s="11"/>
      <c r="LE413" s="11"/>
      <c r="LF413" s="11"/>
      <c r="LG413" s="11"/>
      <c r="LH413" s="11"/>
      <c r="LI413" s="11"/>
      <c r="LJ413" s="11"/>
      <c r="LK413" s="11"/>
      <c r="LL413" s="11"/>
      <c r="LM413" s="11"/>
      <c r="LN413" s="11"/>
      <c r="LO413" s="11"/>
      <c r="LP413" s="11"/>
      <c r="LQ413" s="11"/>
      <c r="LR413" s="11"/>
      <c r="LS413" s="11"/>
      <c r="LT413" s="11"/>
      <c r="LU413" s="11"/>
      <c r="LV413" s="11"/>
      <c r="LW413" s="11"/>
      <c r="LX413" s="11"/>
      <c r="LY413" s="11"/>
      <c r="LZ413" s="11"/>
      <c r="MA413" s="11"/>
      <c r="MB413" s="11"/>
      <c r="MC413" s="11"/>
      <c r="MD413" s="11"/>
      <c r="ME413" s="11"/>
      <c r="MF413" s="11"/>
      <c r="MG413" s="11"/>
      <c r="MH413" s="11"/>
      <c r="MI413" s="11"/>
      <c r="MJ413" s="11"/>
      <c r="MK413" s="11"/>
      <c r="ML413" s="11"/>
      <c r="MM413" s="11"/>
      <c r="MN413" s="11"/>
      <c r="MO413" s="11"/>
      <c r="MP413" s="11"/>
      <c r="MQ413" s="11"/>
      <c r="MR413" s="11"/>
      <c r="MS413" s="11"/>
      <c r="MT413" s="11"/>
      <c r="MU413" s="11"/>
      <c r="MV413" s="11"/>
      <c r="MW413" s="11"/>
      <c r="MX413" s="11"/>
      <c r="MY413" s="11"/>
      <c r="MZ413" s="11"/>
      <c r="NA413" s="11"/>
      <c r="NB413" s="11"/>
      <c r="NC413" s="11"/>
      <c r="ND413" s="11"/>
    </row>
    <row r="414" spans="1:368" ht="21.75" customHeight="1" x14ac:dyDescent="0.3">
      <c r="A414" s="4"/>
      <c r="B414" s="4"/>
      <c r="C414" s="6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  <c r="GP414" s="11"/>
      <c r="GQ414" s="11"/>
      <c r="GR414" s="11"/>
      <c r="GS414" s="11"/>
      <c r="GT414" s="11"/>
      <c r="GU414" s="11"/>
      <c r="GV414" s="11"/>
      <c r="GW414" s="11"/>
      <c r="GX414" s="11"/>
      <c r="GY414" s="11"/>
      <c r="GZ414" s="11"/>
      <c r="HA414" s="11"/>
      <c r="HB414" s="11"/>
      <c r="HC414" s="11"/>
      <c r="HD414" s="11"/>
      <c r="HE414" s="11"/>
      <c r="HF414" s="11"/>
      <c r="HG414" s="11"/>
      <c r="HH414" s="11"/>
      <c r="HI414" s="11"/>
      <c r="HJ414" s="11"/>
      <c r="HK414" s="11"/>
      <c r="HL414" s="11"/>
      <c r="HM414" s="11"/>
      <c r="HN414" s="11"/>
      <c r="HO414" s="11"/>
      <c r="HP414" s="11"/>
      <c r="HQ414" s="11"/>
      <c r="HR414" s="11"/>
      <c r="HS414" s="11"/>
      <c r="HT414" s="11"/>
      <c r="HU414" s="11"/>
      <c r="HV414" s="11"/>
      <c r="HW414" s="11"/>
      <c r="HX414" s="11"/>
      <c r="HY414" s="11"/>
      <c r="HZ414" s="11"/>
      <c r="IA414" s="11"/>
      <c r="IB414" s="11"/>
      <c r="IC414" s="11"/>
      <c r="ID414" s="11"/>
      <c r="IE414" s="11"/>
      <c r="IF414" s="11"/>
      <c r="IG414" s="11"/>
      <c r="IH414" s="11"/>
      <c r="II414" s="11"/>
      <c r="IJ414" s="11"/>
      <c r="IK414" s="11"/>
      <c r="IL414" s="11"/>
      <c r="IM414" s="11"/>
      <c r="IN414" s="11"/>
      <c r="IO414" s="11"/>
      <c r="IP414" s="11"/>
      <c r="IQ414" s="11"/>
      <c r="IR414" s="11"/>
      <c r="IS414" s="11"/>
      <c r="IT414" s="11"/>
      <c r="IU414" s="11"/>
      <c r="IV414" s="11"/>
      <c r="IW414" s="11"/>
      <c r="IX414" s="11"/>
      <c r="IY414" s="11"/>
      <c r="IZ414" s="11"/>
      <c r="JA414" s="11"/>
      <c r="JB414" s="11"/>
      <c r="JC414" s="11"/>
      <c r="JD414" s="11"/>
      <c r="JE414" s="11"/>
      <c r="JF414" s="11"/>
      <c r="JG414" s="11"/>
      <c r="JH414" s="11"/>
      <c r="JI414" s="11"/>
      <c r="JJ414" s="11"/>
      <c r="JK414" s="11"/>
      <c r="JL414" s="11"/>
      <c r="JM414" s="11"/>
      <c r="JN414" s="11"/>
      <c r="JO414" s="11"/>
      <c r="JP414" s="11"/>
      <c r="JQ414" s="11"/>
      <c r="JR414" s="11"/>
      <c r="JS414" s="11"/>
      <c r="JT414" s="11"/>
      <c r="JU414" s="11"/>
      <c r="JV414" s="11"/>
      <c r="JW414" s="11"/>
      <c r="JX414" s="11"/>
      <c r="JY414" s="11"/>
      <c r="JZ414" s="11"/>
      <c r="KA414" s="11"/>
      <c r="KB414" s="11"/>
      <c r="KC414" s="11"/>
      <c r="KD414" s="11"/>
      <c r="KE414" s="11"/>
      <c r="KF414" s="11"/>
      <c r="KG414" s="11"/>
      <c r="KH414" s="11"/>
      <c r="KI414" s="11"/>
      <c r="KJ414" s="11"/>
      <c r="KK414" s="11"/>
      <c r="KL414" s="11"/>
      <c r="KM414" s="11"/>
      <c r="KN414" s="11"/>
      <c r="KO414" s="11"/>
      <c r="KP414" s="11"/>
      <c r="KQ414" s="11"/>
      <c r="KR414" s="11"/>
      <c r="KS414" s="11"/>
      <c r="KT414" s="11"/>
      <c r="KU414" s="11"/>
      <c r="KV414" s="11"/>
      <c r="KW414" s="11"/>
      <c r="KX414" s="11"/>
      <c r="KY414" s="11"/>
      <c r="KZ414" s="11"/>
      <c r="LA414" s="11"/>
      <c r="LB414" s="11"/>
      <c r="LC414" s="11"/>
      <c r="LD414" s="11"/>
      <c r="LE414" s="11"/>
      <c r="LF414" s="11"/>
      <c r="LG414" s="11"/>
      <c r="LH414" s="11"/>
      <c r="LI414" s="11"/>
      <c r="LJ414" s="11"/>
      <c r="LK414" s="11"/>
      <c r="LL414" s="11"/>
      <c r="LM414" s="11"/>
      <c r="LN414" s="11"/>
      <c r="LO414" s="11"/>
      <c r="LP414" s="11"/>
      <c r="LQ414" s="11"/>
      <c r="LR414" s="11"/>
      <c r="LS414" s="11"/>
      <c r="LT414" s="11"/>
      <c r="LU414" s="11"/>
      <c r="LV414" s="11"/>
      <c r="LW414" s="11"/>
      <c r="LX414" s="11"/>
      <c r="LY414" s="11"/>
      <c r="LZ414" s="11"/>
      <c r="MA414" s="11"/>
      <c r="MB414" s="11"/>
      <c r="MC414" s="11"/>
      <c r="MD414" s="11"/>
      <c r="ME414" s="11"/>
      <c r="MF414" s="11"/>
      <c r="MG414" s="11"/>
      <c r="MH414" s="11"/>
      <c r="MI414" s="11"/>
      <c r="MJ414" s="11"/>
      <c r="MK414" s="11"/>
      <c r="ML414" s="11"/>
      <c r="MM414" s="11"/>
      <c r="MN414" s="11"/>
      <c r="MO414" s="11"/>
      <c r="MP414" s="11"/>
      <c r="MQ414" s="11"/>
      <c r="MR414" s="11"/>
      <c r="MS414" s="11"/>
      <c r="MT414" s="11"/>
      <c r="MU414" s="11"/>
      <c r="MV414" s="11"/>
      <c r="MW414" s="11"/>
      <c r="MX414" s="11"/>
      <c r="MY414" s="11"/>
      <c r="MZ414" s="11"/>
      <c r="NA414" s="11"/>
      <c r="NB414" s="11"/>
      <c r="NC414" s="11"/>
      <c r="ND414" s="11"/>
    </row>
    <row r="415" spans="1:368" ht="21.75" customHeight="1" x14ac:dyDescent="0.3">
      <c r="A415" s="4"/>
      <c r="B415" s="4"/>
      <c r="C415" s="6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  <c r="HO415" s="11"/>
      <c r="HP415" s="11"/>
      <c r="HQ415" s="11"/>
      <c r="HR415" s="11"/>
      <c r="HS415" s="11"/>
      <c r="HT415" s="11"/>
      <c r="HU415" s="11"/>
      <c r="HV415" s="11"/>
      <c r="HW415" s="11"/>
      <c r="HX415" s="11"/>
      <c r="HY415" s="11"/>
      <c r="HZ415" s="11"/>
      <c r="IA415" s="11"/>
      <c r="IB415" s="11"/>
      <c r="IC415" s="11"/>
      <c r="ID415" s="11"/>
      <c r="IE415" s="11"/>
      <c r="IF415" s="11"/>
      <c r="IG415" s="11"/>
      <c r="IH415" s="11"/>
      <c r="II415" s="11"/>
      <c r="IJ415" s="11"/>
      <c r="IK415" s="11"/>
      <c r="IL415" s="11"/>
      <c r="IM415" s="11"/>
      <c r="IN415" s="11"/>
      <c r="IO415" s="11"/>
      <c r="IP415" s="11"/>
      <c r="IQ415" s="11"/>
      <c r="IR415" s="11"/>
      <c r="IS415" s="11"/>
      <c r="IT415" s="11"/>
      <c r="IU415" s="11"/>
      <c r="IV415" s="11"/>
      <c r="IW415" s="11"/>
      <c r="IX415" s="11"/>
      <c r="IY415" s="11"/>
      <c r="IZ415" s="11"/>
      <c r="JA415" s="11"/>
      <c r="JB415" s="11"/>
      <c r="JC415" s="11"/>
      <c r="JD415" s="11"/>
      <c r="JE415" s="11"/>
      <c r="JF415" s="11"/>
      <c r="JG415" s="11"/>
      <c r="JH415" s="11"/>
      <c r="JI415" s="11"/>
      <c r="JJ415" s="11"/>
      <c r="JK415" s="11"/>
      <c r="JL415" s="11"/>
      <c r="JM415" s="11"/>
      <c r="JN415" s="11"/>
      <c r="JO415" s="11"/>
      <c r="JP415" s="11"/>
      <c r="JQ415" s="11"/>
      <c r="JR415" s="11"/>
      <c r="JS415" s="11"/>
      <c r="JT415" s="11"/>
      <c r="JU415" s="11"/>
      <c r="JV415" s="11"/>
      <c r="JW415" s="11"/>
      <c r="JX415" s="11"/>
      <c r="JY415" s="11"/>
      <c r="JZ415" s="11"/>
      <c r="KA415" s="11"/>
      <c r="KB415" s="11"/>
      <c r="KC415" s="11"/>
      <c r="KD415" s="11"/>
      <c r="KE415" s="11"/>
      <c r="KF415" s="11"/>
      <c r="KG415" s="11"/>
      <c r="KH415" s="11"/>
      <c r="KI415" s="11"/>
      <c r="KJ415" s="11"/>
      <c r="KK415" s="11"/>
      <c r="KL415" s="11"/>
      <c r="KM415" s="11"/>
      <c r="KN415" s="11"/>
      <c r="KO415" s="11"/>
      <c r="KP415" s="11"/>
      <c r="KQ415" s="11"/>
      <c r="KR415" s="11"/>
      <c r="KS415" s="11"/>
      <c r="KT415" s="11"/>
      <c r="KU415" s="11"/>
      <c r="KV415" s="11"/>
      <c r="KW415" s="11"/>
      <c r="KX415" s="11"/>
      <c r="KY415" s="11"/>
      <c r="KZ415" s="11"/>
      <c r="LA415" s="11"/>
      <c r="LB415" s="11"/>
      <c r="LC415" s="11"/>
      <c r="LD415" s="11"/>
      <c r="LE415" s="11"/>
      <c r="LF415" s="11"/>
      <c r="LG415" s="11"/>
      <c r="LH415" s="11"/>
      <c r="LI415" s="11"/>
      <c r="LJ415" s="11"/>
      <c r="LK415" s="11"/>
      <c r="LL415" s="11"/>
      <c r="LM415" s="11"/>
      <c r="LN415" s="11"/>
      <c r="LO415" s="11"/>
      <c r="LP415" s="11"/>
      <c r="LQ415" s="11"/>
      <c r="LR415" s="11"/>
      <c r="LS415" s="11"/>
      <c r="LT415" s="11"/>
      <c r="LU415" s="11"/>
      <c r="LV415" s="11"/>
      <c r="LW415" s="11"/>
      <c r="LX415" s="11"/>
      <c r="LY415" s="11"/>
      <c r="LZ415" s="11"/>
      <c r="MA415" s="11"/>
      <c r="MB415" s="11"/>
      <c r="MC415" s="11"/>
      <c r="MD415" s="11"/>
      <c r="ME415" s="11"/>
      <c r="MF415" s="11"/>
      <c r="MG415" s="11"/>
      <c r="MH415" s="11"/>
      <c r="MI415" s="11"/>
      <c r="MJ415" s="11"/>
      <c r="MK415" s="11"/>
      <c r="ML415" s="11"/>
      <c r="MM415" s="11"/>
      <c r="MN415" s="11"/>
      <c r="MO415" s="11"/>
      <c r="MP415" s="11"/>
      <c r="MQ415" s="11"/>
      <c r="MR415" s="11"/>
      <c r="MS415" s="11"/>
      <c r="MT415" s="11"/>
      <c r="MU415" s="11"/>
      <c r="MV415" s="11"/>
      <c r="MW415" s="11"/>
      <c r="MX415" s="11"/>
      <c r="MY415" s="11"/>
      <c r="MZ415" s="11"/>
      <c r="NA415" s="11"/>
      <c r="NB415" s="11"/>
      <c r="NC415" s="11"/>
      <c r="ND415" s="11"/>
    </row>
    <row r="416" spans="1:368" ht="21.75" customHeight="1" x14ac:dyDescent="0.3">
      <c r="A416" s="4"/>
      <c r="B416" s="4"/>
      <c r="C416" s="6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  <c r="HO416" s="11"/>
      <c r="HP416" s="11"/>
      <c r="HQ416" s="11"/>
      <c r="HR416" s="11"/>
      <c r="HS416" s="11"/>
      <c r="HT416" s="11"/>
      <c r="HU416" s="11"/>
      <c r="HV416" s="11"/>
      <c r="HW416" s="11"/>
      <c r="HX416" s="11"/>
      <c r="HY416" s="11"/>
      <c r="HZ416" s="11"/>
      <c r="IA416" s="11"/>
      <c r="IB416" s="11"/>
      <c r="IC416" s="11"/>
      <c r="ID416" s="11"/>
      <c r="IE416" s="11"/>
      <c r="IF416" s="11"/>
      <c r="IG416" s="11"/>
      <c r="IH416" s="11"/>
      <c r="II416" s="11"/>
      <c r="IJ416" s="11"/>
      <c r="IK416" s="11"/>
      <c r="IL416" s="11"/>
      <c r="IM416" s="11"/>
      <c r="IN416" s="11"/>
      <c r="IO416" s="11"/>
      <c r="IP416" s="11"/>
      <c r="IQ416" s="11"/>
      <c r="IR416" s="11"/>
      <c r="IS416" s="11"/>
      <c r="IT416" s="11"/>
      <c r="IU416" s="11"/>
      <c r="IV416" s="11"/>
      <c r="IW416" s="11"/>
      <c r="IX416" s="11"/>
      <c r="IY416" s="11"/>
      <c r="IZ416" s="11"/>
      <c r="JA416" s="11"/>
      <c r="JB416" s="11"/>
      <c r="JC416" s="11"/>
      <c r="JD416" s="11"/>
      <c r="JE416" s="11"/>
      <c r="JF416" s="11"/>
      <c r="JG416" s="11"/>
      <c r="JH416" s="11"/>
      <c r="JI416" s="11"/>
      <c r="JJ416" s="11"/>
      <c r="JK416" s="11"/>
      <c r="JL416" s="11"/>
      <c r="JM416" s="11"/>
      <c r="JN416" s="11"/>
      <c r="JO416" s="11"/>
      <c r="JP416" s="11"/>
      <c r="JQ416" s="11"/>
      <c r="JR416" s="11"/>
      <c r="JS416" s="11"/>
      <c r="JT416" s="11"/>
      <c r="JU416" s="11"/>
      <c r="JV416" s="11"/>
      <c r="JW416" s="11"/>
      <c r="JX416" s="11"/>
      <c r="JY416" s="11"/>
      <c r="JZ416" s="11"/>
      <c r="KA416" s="11"/>
      <c r="KB416" s="11"/>
      <c r="KC416" s="11"/>
      <c r="KD416" s="11"/>
      <c r="KE416" s="11"/>
      <c r="KF416" s="11"/>
      <c r="KG416" s="11"/>
      <c r="KH416" s="11"/>
      <c r="KI416" s="11"/>
      <c r="KJ416" s="11"/>
      <c r="KK416" s="11"/>
      <c r="KL416" s="11"/>
      <c r="KM416" s="11"/>
      <c r="KN416" s="11"/>
      <c r="KO416" s="11"/>
      <c r="KP416" s="11"/>
      <c r="KQ416" s="11"/>
      <c r="KR416" s="11"/>
      <c r="KS416" s="11"/>
      <c r="KT416" s="11"/>
      <c r="KU416" s="11"/>
      <c r="KV416" s="11"/>
      <c r="KW416" s="11"/>
      <c r="KX416" s="11"/>
      <c r="KY416" s="11"/>
      <c r="KZ416" s="11"/>
      <c r="LA416" s="11"/>
      <c r="LB416" s="11"/>
      <c r="LC416" s="11"/>
      <c r="LD416" s="11"/>
      <c r="LE416" s="11"/>
      <c r="LF416" s="11"/>
      <c r="LG416" s="11"/>
      <c r="LH416" s="11"/>
      <c r="LI416" s="11"/>
      <c r="LJ416" s="11"/>
      <c r="LK416" s="11"/>
      <c r="LL416" s="11"/>
      <c r="LM416" s="11"/>
      <c r="LN416" s="11"/>
      <c r="LO416" s="11"/>
      <c r="LP416" s="11"/>
      <c r="LQ416" s="11"/>
      <c r="LR416" s="11"/>
      <c r="LS416" s="11"/>
      <c r="LT416" s="11"/>
      <c r="LU416" s="11"/>
      <c r="LV416" s="11"/>
      <c r="LW416" s="11"/>
      <c r="LX416" s="11"/>
      <c r="LY416" s="11"/>
      <c r="LZ416" s="11"/>
      <c r="MA416" s="11"/>
      <c r="MB416" s="11"/>
      <c r="MC416" s="11"/>
      <c r="MD416" s="11"/>
      <c r="ME416" s="11"/>
      <c r="MF416" s="11"/>
      <c r="MG416" s="11"/>
      <c r="MH416" s="11"/>
      <c r="MI416" s="11"/>
      <c r="MJ416" s="11"/>
      <c r="MK416" s="11"/>
      <c r="ML416" s="11"/>
      <c r="MM416" s="11"/>
      <c r="MN416" s="11"/>
      <c r="MO416" s="11"/>
      <c r="MP416" s="11"/>
      <c r="MQ416" s="11"/>
      <c r="MR416" s="11"/>
      <c r="MS416" s="11"/>
      <c r="MT416" s="11"/>
      <c r="MU416" s="11"/>
      <c r="MV416" s="11"/>
      <c r="MW416" s="11"/>
      <c r="MX416" s="11"/>
      <c r="MY416" s="11"/>
      <c r="MZ416" s="11"/>
      <c r="NA416" s="11"/>
      <c r="NB416" s="11"/>
      <c r="NC416" s="11"/>
      <c r="ND416" s="11"/>
    </row>
    <row r="417" spans="1:368" ht="21.75" customHeight="1" x14ac:dyDescent="0.3">
      <c r="A417" s="4"/>
      <c r="B417" s="4"/>
      <c r="C417" s="6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  <c r="HM417" s="11"/>
      <c r="HN417" s="11"/>
      <c r="HO417" s="11"/>
      <c r="HP417" s="11"/>
      <c r="HQ417" s="11"/>
      <c r="HR417" s="11"/>
      <c r="HS417" s="11"/>
      <c r="HT417" s="11"/>
      <c r="HU417" s="11"/>
      <c r="HV417" s="11"/>
      <c r="HW417" s="11"/>
      <c r="HX417" s="11"/>
      <c r="HY417" s="11"/>
      <c r="HZ417" s="11"/>
      <c r="IA417" s="11"/>
      <c r="IB417" s="11"/>
      <c r="IC417" s="11"/>
      <c r="ID417" s="11"/>
      <c r="IE417" s="11"/>
      <c r="IF417" s="11"/>
      <c r="IG417" s="11"/>
      <c r="IH417" s="11"/>
      <c r="II417" s="11"/>
      <c r="IJ417" s="11"/>
      <c r="IK417" s="11"/>
      <c r="IL417" s="11"/>
      <c r="IM417" s="11"/>
      <c r="IN417" s="11"/>
      <c r="IO417" s="11"/>
      <c r="IP417" s="11"/>
      <c r="IQ417" s="11"/>
      <c r="IR417" s="11"/>
      <c r="IS417" s="11"/>
      <c r="IT417" s="11"/>
      <c r="IU417" s="11"/>
      <c r="IV417" s="11"/>
      <c r="IW417" s="11"/>
      <c r="IX417" s="11"/>
      <c r="IY417" s="11"/>
      <c r="IZ417" s="11"/>
      <c r="JA417" s="11"/>
      <c r="JB417" s="11"/>
      <c r="JC417" s="11"/>
      <c r="JD417" s="11"/>
      <c r="JE417" s="11"/>
      <c r="JF417" s="11"/>
      <c r="JG417" s="11"/>
      <c r="JH417" s="11"/>
      <c r="JI417" s="11"/>
      <c r="JJ417" s="11"/>
      <c r="JK417" s="11"/>
      <c r="JL417" s="11"/>
      <c r="JM417" s="11"/>
      <c r="JN417" s="11"/>
      <c r="JO417" s="11"/>
      <c r="JP417" s="11"/>
      <c r="JQ417" s="11"/>
      <c r="JR417" s="11"/>
      <c r="JS417" s="11"/>
      <c r="JT417" s="11"/>
      <c r="JU417" s="11"/>
      <c r="JV417" s="11"/>
      <c r="JW417" s="11"/>
      <c r="JX417" s="11"/>
      <c r="JY417" s="11"/>
      <c r="JZ417" s="11"/>
      <c r="KA417" s="11"/>
      <c r="KB417" s="11"/>
      <c r="KC417" s="11"/>
      <c r="KD417" s="11"/>
      <c r="KE417" s="11"/>
      <c r="KF417" s="11"/>
      <c r="KG417" s="11"/>
      <c r="KH417" s="11"/>
      <c r="KI417" s="11"/>
      <c r="KJ417" s="11"/>
      <c r="KK417" s="11"/>
      <c r="KL417" s="11"/>
      <c r="KM417" s="11"/>
      <c r="KN417" s="11"/>
      <c r="KO417" s="11"/>
      <c r="KP417" s="11"/>
      <c r="KQ417" s="11"/>
      <c r="KR417" s="11"/>
      <c r="KS417" s="11"/>
      <c r="KT417" s="11"/>
      <c r="KU417" s="11"/>
      <c r="KV417" s="11"/>
      <c r="KW417" s="11"/>
      <c r="KX417" s="11"/>
      <c r="KY417" s="11"/>
      <c r="KZ417" s="11"/>
      <c r="LA417" s="11"/>
      <c r="LB417" s="11"/>
      <c r="LC417" s="11"/>
      <c r="LD417" s="11"/>
      <c r="LE417" s="11"/>
      <c r="LF417" s="11"/>
      <c r="LG417" s="11"/>
      <c r="LH417" s="11"/>
      <c r="LI417" s="11"/>
      <c r="LJ417" s="11"/>
      <c r="LK417" s="11"/>
      <c r="LL417" s="11"/>
      <c r="LM417" s="11"/>
      <c r="LN417" s="11"/>
      <c r="LO417" s="11"/>
      <c r="LP417" s="11"/>
      <c r="LQ417" s="11"/>
      <c r="LR417" s="11"/>
      <c r="LS417" s="11"/>
      <c r="LT417" s="11"/>
      <c r="LU417" s="11"/>
      <c r="LV417" s="11"/>
      <c r="LW417" s="11"/>
      <c r="LX417" s="11"/>
      <c r="LY417" s="11"/>
      <c r="LZ417" s="11"/>
      <c r="MA417" s="11"/>
      <c r="MB417" s="11"/>
      <c r="MC417" s="11"/>
      <c r="MD417" s="11"/>
      <c r="ME417" s="11"/>
      <c r="MF417" s="11"/>
      <c r="MG417" s="11"/>
      <c r="MH417" s="11"/>
      <c r="MI417" s="11"/>
      <c r="MJ417" s="11"/>
      <c r="MK417" s="11"/>
      <c r="ML417" s="11"/>
      <c r="MM417" s="11"/>
      <c r="MN417" s="11"/>
      <c r="MO417" s="11"/>
      <c r="MP417" s="11"/>
      <c r="MQ417" s="11"/>
      <c r="MR417" s="11"/>
      <c r="MS417" s="11"/>
      <c r="MT417" s="11"/>
      <c r="MU417" s="11"/>
      <c r="MV417" s="11"/>
      <c r="MW417" s="11"/>
      <c r="MX417" s="11"/>
      <c r="MY417" s="11"/>
      <c r="MZ417" s="11"/>
      <c r="NA417" s="11"/>
      <c r="NB417" s="11"/>
      <c r="NC417" s="11"/>
      <c r="ND417" s="11"/>
    </row>
    <row r="418" spans="1:368" ht="21.75" customHeight="1" x14ac:dyDescent="0.3">
      <c r="A418" s="4"/>
      <c r="B418" s="4"/>
      <c r="C418" s="6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  <c r="GP418" s="11"/>
      <c r="GQ418" s="11"/>
      <c r="GR418" s="11"/>
      <c r="GS418" s="11"/>
      <c r="GT418" s="11"/>
      <c r="GU418" s="11"/>
      <c r="GV418" s="11"/>
      <c r="GW418" s="11"/>
      <c r="GX418" s="11"/>
      <c r="GY418" s="11"/>
      <c r="GZ418" s="11"/>
      <c r="HA418" s="11"/>
      <c r="HB418" s="11"/>
      <c r="HC418" s="11"/>
      <c r="HD418" s="11"/>
      <c r="HE418" s="11"/>
      <c r="HF418" s="11"/>
      <c r="HG418" s="11"/>
      <c r="HH418" s="11"/>
      <c r="HI418" s="11"/>
      <c r="HJ418" s="11"/>
      <c r="HK418" s="11"/>
      <c r="HL418" s="11"/>
      <c r="HM418" s="11"/>
      <c r="HN418" s="11"/>
      <c r="HO418" s="11"/>
      <c r="HP418" s="11"/>
      <c r="HQ418" s="11"/>
      <c r="HR418" s="11"/>
      <c r="HS418" s="11"/>
      <c r="HT418" s="11"/>
      <c r="HU418" s="11"/>
      <c r="HV418" s="11"/>
      <c r="HW418" s="11"/>
      <c r="HX418" s="11"/>
      <c r="HY418" s="11"/>
      <c r="HZ418" s="11"/>
      <c r="IA418" s="11"/>
      <c r="IB418" s="11"/>
      <c r="IC418" s="11"/>
      <c r="ID418" s="11"/>
      <c r="IE418" s="11"/>
      <c r="IF418" s="11"/>
      <c r="IG418" s="11"/>
      <c r="IH418" s="11"/>
      <c r="II418" s="11"/>
      <c r="IJ418" s="11"/>
      <c r="IK418" s="11"/>
      <c r="IL418" s="11"/>
      <c r="IM418" s="11"/>
      <c r="IN418" s="11"/>
      <c r="IO418" s="11"/>
      <c r="IP418" s="11"/>
      <c r="IQ418" s="11"/>
      <c r="IR418" s="11"/>
      <c r="IS418" s="11"/>
      <c r="IT418" s="11"/>
      <c r="IU418" s="11"/>
      <c r="IV418" s="11"/>
      <c r="IW418" s="11"/>
      <c r="IX418" s="11"/>
      <c r="IY418" s="11"/>
      <c r="IZ418" s="11"/>
      <c r="JA418" s="11"/>
      <c r="JB418" s="11"/>
      <c r="JC418" s="11"/>
      <c r="JD418" s="11"/>
      <c r="JE418" s="11"/>
      <c r="JF418" s="11"/>
      <c r="JG418" s="11"/>
      <c r="JH418" s="11"/>
      <c r="JI418" s="11"/>
      <c r="JJ418" s="11"/>
      <c r="JK418" s="11"/>
      <c r="JL418" s="11"/>
      <c r="JM418" s="11"/>
      <c r="JN418" s="11"/>
      <c r="JO418" s="11"/>
      <c r="JP418" s="11"/>
      <c r="JQ418" s="11"/>
      <c r="JR418" s="11"/>
      <c r="JS418" s="11"/>
      <c r="JT418" s="11"/>
      <c r="JU418" s="11"/>
      <c r="JV418" s="11"/>
      <c r="JW418" s="11"/>
      <c r="JX418" s="11"/>
      <c r="JY418" s="11"/>
      <c r="JZ418" s="11"/>
      <c r="KA418" s="11"/>
      <c r="KB418" s="11"/>
      <c r="KC418" s="11"/>
      <c r="KD418" s="11"/>
      <c r="KE418" s="11"/>
      <c r="KF418" s="11"/>
      <c r="KG418" s="11"/>
      <c r="KH418" s="11"/>
      <c r="KI418" s="11"/>
      <c r="KJ418" s="11"/>
      <c r="KK418" s="11"/>
      <c r="KL418" s="11"/>
      <c r="KM418" s="11"/>
      <c r="KN418" s="11"/>
      <c r="KO418" s="11"/>
      <c r="KP418" s="11"/>
      <c r="KQ418" s="11"/>
      <c r="KR418" s="11"/>
      <c r="KS418" s="11"/>
      <c r="KT418" s="11"/>
      <c r="KU418" s="11"/>
      <c r="KV418" s="11"/>
      <c r="KW418" s="11"/>
      <c r="KX418" s="11"/>
      <c r="KY418" s="11"/>
      <c r="KZ418" s="11"/>
      <c r="LA418" s="11"/>
      <c r="LB418" s="11"/>
      <c r="LC418" s="11"/>
      <c r="LD418" s="11"/>
      <c r="LE418" s="11"/>
      <c r="LF418" s="11"/>
      <c r="LG418" s="11"/>
      <c r="LH418" s="11"/>
      <c r="LI418" s="11"/>
      <c r="LJ418" s="11"/>
      <c r="LK418" s="11"/>
      <c r="LL418" s="11"/>
      <c r="LM418" s="11"/>
      <c r="LN418" s="11"/>
      <c r="LO418" s="11"/>
      <c r="LP418" s="11"/>
      <c r="LQ418" s="11"/>
      <c r="LR418" s="11"/>
      <c r="LS418" s="11"/>
      <c r="LT418" s="11"/>
      <c r="LU418" s="11"/>
      <c r="LV418" s="11"/>
      <c r="LW418" s="11"/>
      <c r="LX418" s="11"/>
      <c r="LY418" s="11"/>
      <c r="LZ418" s="11"/>
      <c r="MA418" s="11"/>
      <c r="MB418" s="11"/>
      <c r="MC418" s="11"/>
      <c r="MD418" s="11"/>
      <c r="ME418" s="11"/>
      <c r="MF418" s="11"/>
      <c r="MG418" s="11"/>
      <c r="MH418" s="11"/>
      <c r="MI418" s="11"/>
      <c r="MJ418" s="11"/>
      <c r="MK418" s="11"/>
      <c r="ML418" s="11"/>
      <c r="MM418" s="11"/>
      <c r="MN418" s="11"/>
      <c r="MO418" s="11"/>
      <c r="MP418" s="11"/>
      <c r="MQ418" s="11"/>
      <c r="MR418" s="11"/>
      <c r="MS418" s="11"/>
      <c r="MT418" s="11"/>
      <c r="MU418" s="11"/>
      <c r="MV418" s="11"/>
      <c r="MW418" s="11"/>
      <c r="MX418" s="11"/>
      <c r="MY418" s="11"/>
      <c r="MZ418" s="11"/>
      <c r="NA418" s="11"/>
      <c r="NB418" s="11"/>
      <c r="NC418" s="11"/>
      <c r="ND418" s="11"/>
    </row>
    <row r="419" spans="1:368" ht="21.75" customHeight="1" x14ac:dyDescent="0.3">
      <c r="A419" s="4"/>
      <c r="B419" s="4"/>
      <c r="C419" s="6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  <c r="HO419" s="11"/>
      <c r="HP419" s="11"/>
      <c r="HQ419" s="11"/>
      <c r="HR419" s="11"/>
      <c r="HS419" s="11"/>
      <c r="HT419" s="11"/>
      <c r="HU419" s="11"/>
      <c r="HV419" s="11"/>
      <c r="HW419" s="11"/>
      <c r="HX419" s="11"/>
      <c r="HY419" s="11"/>
      <c r="HZ419" s="11"/>
      <c r="IA419" s="11"/>
      <c r="IB419" s="11"/>
      <c r="IC419" s="11"/>
      <c r="ID419" s="11"/>
      <c r="IE419" s="11"/>
      <c r="IF419" s="11"/>
      <c r="IG419" s="11"/>
      <c r="IH419" s="11"/>
      <c r="II419" s="11"/>
      <c r="IJ419" s="11"/>
      <c r="IK419" s="11"/>
      <c r="IL419" s="11"/>
      <c r="IM419" s="11"/>
      <c r="IN419" s="11"/>
      <c r="IO419" s="11"/>
      <c r="IP419" s="11"/>
      <c r="IQ419" s="11"/>
      <c r="IR419" s="11"/>
      <c r="IS419" s="11"/>
      <c r="IT419" s="11"/>
      <c r="IU419" s="11"/>
      <c r="IV419" s="11"/>
      <c r="IW419" s="11"/>
      <c r="IX419" s="11"/>
      <c r="IY419" s="11"/>
      <c r="IZ419" s="11"/>
      <c r="JA419" s="11"/>
      <c r="JB419" s="11"/>
      <c r="JC419" s="11"/>
      <c r="JD419" s="11"/>
      <c r="JE419" s="11"/>
      <c r="JF419" s="11"/>
      <c r="JG419" s="11"/>
      <c r="JH419" s="11"/>
      <c r="JI419" s="11"/>
      <c r="JJ419" s="11"/>
      <c r="JK419" s="11"/>
      <c r="JL419" s="11"/>
      <c r="JM419" s="11"/>
      <c r="JN419" s="11"/>
      <c r="JO419" s="11"/>
      <c r="JP419" s="11"/>
      <c r="JQ419" s="11"/>
      <c r="JR419" s="11"/>
      <c r="JS419" s="11"/>
      <c r="JT419" s="11"/>
      <c r="JU419" s="11"/>
      <c r="JV419" s="11"/>
      <c r="JW419" s="11"/>
      <c r="JX419" s="11"/>
      <c r="JY419" s="11"/>
      <c r="JZ419" s="11"/>
      <c r="KA419" s="11"/>
      <c r="KB419" s="11"/>
      <c r="KC419" s="11"/>
      <c r="KD419" s="11"/>
      <c r="KE419" s="11"/>
      <c r="KF419" s="11"/>
      <c r="KG419" s="11"/>
      <c r="KH419" s="11"/>
      <c r="KI419" s="11"/>
      <c r="KJ419" s="11"/>
      <c r="KK419" s="11"/>
      <c r="KL419" s="11"/>
      <c r="KM419" s="11"/>
      <c r="KN419" s="11"/>
      <c r="KO419" s="11"/>
      <c r="KP419" s="11"/>
      <c r="KQ419" s="11"/>
      <c r="KR419" s="11"/>
      <c r="KS419" s="11"/>
      <c r="KT419" s="11"/>
      <c r="KU419" s="11"/>
      <c r="KV419" s="11"/>
      <c r="KW419" s="11"/>
      <c r="KX419" s="11"/>
      <c r="KY419" s="11"/>
      <c r="KZ419" s="11"/>
      <c r="LA419" s="11"/>
      <c r="LB419" s="11"/>
      <c r="LC419" s="11"/>
      <c r="LD419" s="11"/>
      <c r="LE419" s="11"/>
      <c r="LF419" s="11"/>
      <c r="LG419" s="11"/>
      <c r="LH419" s="11"/>
      <c r="LI419" s="11"/>
      <c r="LJ419" s="11"/>
      <c r="LK419" s="11"/>
      <c r="LL419" s="11"/>
      <c r="LM419" s="11"/>
      <c r="LN419" s="11"/>
      <c r="LO419" s="11"/>
      <c r="LP419" s="11"/>
      <c r="LQ419" s="11"/>
      <c r="LR419" s="11"/>
      <c r="LS419" s="11"/>
      <c r="LT419" s="11"/>
      <c r="LU419" s="11"/>
      <c r="LV419" s="11"/>
      <c r="LW419" s="11"/>
      <c r="LX419" s="11"/>
      <c r="LY419" s="11"/>
      <c r="LZ419" s="11"/>
      <c r="MA419" s="11"/>
      <c r="MB419" s="11"/>
      <c r="MC419" s="11"/>
      <c r="MD419" s="11"/>
      <c r="ME419" s="11"/>
      <c r="MF419" s="11"/>
      <c r="MG419" s="11"/>
      <c r="MH419" s="11"/>
      <c r="MI419" s="11"/>
      <c r="MJ419" s="11"/>
      <c r="MK419" s="11"/>
      <c r="ML419" s="11"/>
      <c r="MM419" s="11"/>
      <c r="MN419" s="11"/>
      <c r="MO419" s="11"/>
      <c r="MP419" s="11"/>
      <c r="MQ419" s="11"/>
      <c r="MR419" s="11"/>
      <c r="MS419" s="11"/>
      <c r="MT419" s="11"/>
      <c r="MU419" s="11"/>
      <c r="MV419" s="11"/>
      <c r="MW419" s="11"/>
      <c r="MX419" s="11"/>
      <c r="MY419" s="11"/>
      <c r="MZ419" s="11"/>
      <c r="NA419" s="11"/>
      <c r="NB419" s="11"/>
      <c r="NC419" s="11"/>
      <c r="ND419" s="11"/>
    </row>
    <row r="420" spans="1:368" ht="21.75" customHeight="1" x14ac:dyDescent="0.3">
      <c r="A420" s="4"/>
      <c r="B420" s="4"/>
      <c r="C420" s="6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  <c r="GP420" s="11"/>
      <c r="GQ420" s="11"/>
      <c r="GR420" s="11"/>
      <c r="GS420" s="11"/>
      <c r="GT420" s="11"/>
      <c r="GU420" s="11"/>
      <c r="GV420" s="11"/>
      <c r="GW420" s="11"/>
      <c r="GX420" s="11"/>
      <c r="GY420" s="11"/>
      <c r="GZ420" s="11"/>
      <c r="HA420" s="11"/>
      <c r="HB420" s="11"/>
      <c r="HC420" s="11"/>
      <c r="HD420" s="11"/>
      <c r="HE420" s="11"/>
      <c r="HF420" s="11"/>
      <c r="HG420" s="11"/>
      <c r="HH420" s="11"/>
      <c r="HI420" s="11"/>
      <c r="HJ420" s="11"/>
      <c r="HK420" s="11"/>
      <c r="HL420" s="11"/>
      <c r="HM420" s="11"/>
      <c r="HN420" s="11"/>
      <c r="HO420" s="11"/>
      <c r="HP420" s="11"/>
      <c r="HQ420" s="11"/>
      <c r="HR420" s="11"/>
      <c r="HS420" s="11"/>
      <c r="HT420" s="11"/>
      <c r="HU420" s="11"/>
      <c r="HV420" s="11"/>
      <c r="HW420" s="11"/>
      <c r="HX420" s="11"/>
      <c r="HY420" s="11"/>
      <c r="HZ420" s="11"/>
      <c r="IA420" s="11"/>
      <c r="IB420" s="11"/>
      <c r="IC420" s="11"/>
      <c r="ID420" s="11"/>
      <c r="IE420" s="11"/>
      <c r="IF420" s="11"/>
      <c r="IG420" s="11"/>
      <c r="IH420" s="11"/>
      <c r="II420" s="11"/>
      <c r="IJ420" s="11"/>
      <c r="IK420" s="11"/>
      <c r="IL420" s="11"/>
      <c r="IM420" s="11"/>
      <c r="IN420" s="11"/>
      <c r="IO420" s="11"/>
      <c r="IP420" s="11"/>
      <c r="IQ420" s="11"/>
      <c r="IR420" s="11"/>
      <c r="IS420" s="11"/>
      <c r="IT420" s="11"/>
      <c r="IU420" s="11"/>
      <c r="IV420" s="11"/>
      <c r="IW420" s="11"/>
      <c r="IX420" s="11"/>
      <c r="IY420" s="11"/>
      <c r="IZ420" s="11"/>
      <c r="JA420" s="11"/>
      <c r="JB420" s="11"/>
      <c r="JC420" s="11"/>
      <c r="JD420" s="11"/>
      <c r="JE420" s="11"/>
      <c r="JF420" s="11"/>
      <c r="JG420" s="11"/>
      <c r="JH420" s="11"/>
      <c r="JI420" s="11"/>
      <c r="JJ420" s="11"/>
      <c r="JK420" s="11"/>
      <c r="JL420" s="11"/>
      <c r="JM420" s="11"/>
      <c r="JN420" s="11"/>
      <c r="JO420" s="11"/>
      <c r="JP420" s="11"/>
      <c r="JQ420" s="11"/>
      <c r="JR420" s="11"/>
      <c r="JS420" s="11"/>
      <c r="JT420" s="11"/>
      <c r="JU420" s="11"/>
      <c r="JV420" s="11"/>
      <c r="JW420" s="11"/>
      <c r="JX420" s="11"/>
      <c r="JY420" s="11"/>
      <c r="JZ420" s="11"/>
      <c r="KA420" s="11"/>
      <c r="KB420" s="11"/>
      <c r="KC420" s="11"/>
      <c r="KD420" s="11"/>
      <c r="KE420" s="11"/>
      <c r="KF420" s="11"/>
      <c r="KG420" s="11"/>
      <c r="KH420" s="11"/>
      <c r="KI420" s="11"/>
      <c r="KJ420" s="11"/>
      <c r="KK420" s="11"/>
      <c r="KL420" s="11"/>
      <c r="KM420" s="11"/>
      <c r="KN420" s="11"/>
      <c r="KO420" s="11"/>
      <c r="KP420" s="11"/>
      <c r="KQ420" s="11"/>
      <c r="KR420" s="11"/>
      <c r="KS420" s="11"/>
      <c r="KT420" s="11"/>
      <c r="KU420" s="11"/>
      <c r="KV420" s="11"/>
      <c r="KW420" s="11"/>
      <c r="KX420" s="11"/>
      <c r="KY420" s="11"/>
      <c r="KZ420" s="11"/>
      <c r="LA420" s="11"/>
      <c r="LB420" s="11"/>
      <c r="LC420" s="11"/>
      <c r="LD420" s="11"/>
      <c r="LE420" s="11"/>
      <c r="LF420" s="11"/>
      <c r="LG420" s="11"/>
      <c r="LH420" s="11"/>
      <c r="LI420" s="11"/>
      <c r="LJ420" s="11"/>
      <c r="LK420" s="11"/>
      <c r="LL420" s="11"/>
      <c r="LM420" s="11"/>
      <c r="LN420" s="11"/>
      <c r="LO420" s="11"/>
      <c r="LP420" s="11"/>
      <c r="LQ420" s="11"/>
      <c r="LR420" s="11"/>
      <c r="LS420" s="11"/>
      <c r="LT420" s="11"/>
      <c r="LU420" s="11"/>
      <c r="LV420" s="11"/>
      <c r="LW420" s="11"/>
      <c r="LX420" s="11"/>
      <c r="LY420" s="11"/>
      <c r="LZ420" s="11"/>
      <c r="MA420" s="11"/>
      <c r="MB420" s="11"/>
      <c r="MC420" s="11"/>
      <c r="MD420" s="11"/>
      <c r="ME420" s="11"/>
      <c r="MF420" s="11"/>
      <c r="MG420" s="11"/>
      <c r="MH420" s="11"/>
      <c r="MI420" s="11"/>
      <c r="MJ420" s="11"/>
      <c r="MK420" s="11"/>
      <c r="ML420" s="11"/>
      <c r="MM420" s="11"/>
      <c r="MN420" s="11"/>
      <c r="MO420" s="11"/>
      <c r="MP420" s="11"/>
      <c r="MQ420" s="11"/>
      <c r="MR420" s="11"/>
      <c r="MS420" s="11"/>
      <c r="MT420" s="11"/>
      <c r="MU420" s="11"/>
      <c r="MV420" s="11"/>
      <c r="MW420" s="11"/>
      <c r="MX420" s="11"/>
      <c r="MY420" s="11"/>
      <c r="MZ420" s="11"/>
      <c r="NA420" s="11"/>
      <c r="NB420" s="11"/>
      <c r="NC420" s="11"/>
      <c r="ND420" s="11"/>
    </row>
    <row r="421" spans="1:368" ht="21.75" customHeight="1" x14ac:dyDescent="0.3">
      <c r="A421" s="4"/>
      <c r="B421" s="4"/>
      <c r="C421" s="6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/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  <c r="HM421" s="11"/>
      <c r="HN421" s="11"/>
      <c r="HO421" s="11"/>
      <c r="HP421" s="11"/>
      <c r="HQ421" s="11"/>
      <c r="HR421" s="11"/>
      <c r="HS421" s="11"/>
      <c r="HT421" s="11"/>
      <c r="HU421" s="11"/>
      <c r="HV421" s="11"/>
      <c r="HW421" s="11"/>
      <c r="HX421" s="11"/>
      <c r="HY421" s="11"/>
      <c r="HZ421" s="11"/>
      <c r="IA421" s="11"/>
      <c r="IB421" s="11"/>
      <c r="IC421" s="11"/>
      <c r="ID421" s="11"/>
      <c r="IE421" s="11"/>
      <c r="IF421" s="11"/>
      <c r="IG421" s="11"/>
      <c r="IH421" s="11"/>
      <c r="II421" s="11"/>
      <c r="IJ421" s="11"/>
      <c r="IK421" s="11"/>
      <c r="IL421" s="11"/>
      <c r="IM421" s="11"/>
      <c r="IN421" s="11"/>
      <c r="IO421" s="11"/>
      <c r="IP421" s="11"/>
      <c r="IQ421" s="11"/>
      <c r="IR421" s="11"/>
      <c r="IS421" s="11"/>
      <c r="IT421" s="11"/>
      <c r="IU421" s="11"/>
      <c r="IV421" s="11"/>
      <c r="IW421" s="11"/>
      <c r="IX421" s="11"/>
      <c r="IY421" s="11"/>
      <c r="IZ421" s="11"/>
      <c r="JA421" s="11"/>
      <c r="JB421" s="11"/>
      <c r="JC421" s="11"/>
      <c r="JD421" s="11"/>
      <c r="JE421" s="11"/>
      <c r="JF421" s="11"/>
      <c r="JG421" s="11"/>
      <c r="JH421" s="11"/>
      <c r="JI421" s="11"/>
      <c r="JJ421" s="11"/>
      <c r="JK421" s="11"/>
      <c r="JL421" s="11"/>
      <c r="JM421" s="11"/>
      <c r="JN421" s="11"/>
      <c r="JO421" s="11"/>
      <c r="JP421" s="11"/>
      <c r="JQ421" s="11"/>
      <c r="JR421" s="11"/>
      <c r="JS421" s="11"/>
      <c r="JT421" s="11"/>
      <c r="JU421" s="11"/>
      <c r="JV421" s="11"/>
      <c r="JW421" s="11"/>
      <c r="JX421" s="11"/>
      <c r="JY421" s="11"/>
      <c r="JZ421" s="11"/>
      <c r="KA421" s="11"/>
      <c r="KB421" s="11"/>
      <c r="KC421" s="11"/>
      <c r="KD421" s="11"/>
      <c r="KE421" s="11"/>
      <c r="KF421" s="11"/>
      <c r="KG421" s="11"/>
      <c r="KH421" s="11"/>
      <c r="KI421" s="11"/>
      <c r="KJ421" s="11"/>
      <c r="KK421" s="11"/>
      <c r="KL421" s="11"/>
      <c r="KM421" s="11"/>
      <c r="KN421" s="11"/>
      <c r="KO421" s="11"/>
      <c r="KP421" s="11"/>
      <c r="KQ421" s="11"/>
      <c r="KR421" s="11"/>
      <c r="KS421" s="11"/>
      <c r="KT421" s="11"/>
      <c r="KU421" s="11"/>
      <c r="KV421" s="11"/>
      <c r="KW421" s="11"/>
      <c r="KX421" s="11"/>
      <c r="KY421" s="11"/>
      <c r="KZ421" s="11"/>
      <c r="LA421" s="11"/>
      <c r="LB421" s="11"/>
      <c r="LC421" s="11"/>
      <c r="LD421" s="11"/>
      <c r="LE421" s="11"/>
      <c r="LF421" s="11"/>
      <c r="LG421" s="11"/>
      <c r="LH421" s="11"/>
      <c r="LI421" s="11"/>
      <c r="LJ421" s="11"/>
      <c r="LK421" s="11"/>
      <c r="LL421" s="11"/>
      <c r="LM421" s="11"/>
      <c r="LN421" s="11"/>
      <c r="LO421" s="11"/>
      <c r="LP421" s="11"/>
      <c r="LQ421" s="11"/>
      <c r="LR421" s="11"/>
      <c r="LS421" s="11"/>
      <c r="LT421" s="11"/>
      <c r="LU421" s="11"/>
      <c r="LV421" s="11"/>
      <c r="LW421" s="11"/>
      <c r="LX421" s="11"/>
      <c r="LY421" s="11"/>
      <c r="LZ421" s="11"/>
      <c r="MA421" s="11"/>
      <c r="MB421" s="11"/>
      <c r="MC421" s="11"/>
      <c r="MD421" s="11"/>
      <c r="ME421" s="11"/>
      <c r="MF421" s="11"/>
      <c r="MG421" s="11"/>
      <c r="MH421" s="11"/>
      <c r="MI421" s="11"/>
      <c r="MJ421" s="11"/>
      <c r="MK421" s="11"/>
      <c r="ML421" s="11"/>
      <c r="MM421" s="11"/>
      <c r="MN421" s="11"/>
      <c r="MO421" s="11"/>
      <c r="MP421" s="11"/>
      <c r="MQ421" s="11"/>
      <c r="MR421" s="11"/>
      <c r="MS421" s="11"/>
      <c r="MT421" s="11"/>
      <c r="MU421" s="11"/>
      <c r="MV421" s="11"/>
      <c r="MW421" s="11"/>
      <c r="MX421" s="11"/>
      <c r="MY421" s="11"/>
      <c r="MZ421" s="11"/>
      <c r="NA421" s="11"/>
      <c r="NB421" s="11"/>
      <c r="NC421" s="11"/>
      <c r="ND421" s="11"/>
    </row>
    <row r="422" spans="1:368" ht="21.75" customHeight="1" x14ac:dyDescent="0.3">
      <c r="A422" s="4"/>
      <c r="B422" s="4"/>
      <c r="C422" s="6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  <c r="GP422" s="11"/>
      <c r="GQ422" s="11"/>
      <c r="GR422" s="11"/>
      <c r="GS422" s="11"/>
      <c r="GT422" s="11"/>
      <c r="GU422" s="11"/>
      <c r="GV422" s="11"/>
      <c r="GW422" s="11"/>
      <c r="GX422" s="11"/>
      <c r="GY422" s="11"/>
      <c r="GZ422" s="11"/>
      <c r="HA422" s="11"/>
      <c r="HB422" s="11"/>
      <c r="HC422" s="11"/>
      <c r="HD422" s="11"/>
      <c r="HE422" s="11"/>
      <c r="HF422" s="11"/>
      <c r="HG422" s="11"/>
      <c r="HH422" s="11"/>
      <c r="HI422" s="11"/>
      <c r="HJ422" s="11"/>
      <c r="HK422" s="11"/>
      <c r="HL422" s="11"/>
      <c r="HM422" s="11"/>
      <c r="HN422" s="11"/>
      <c r="HO422" s="11"/>
      <c r="HP422" s="11"/>
      <c r="HQ422" s="11"/>
      <c r="HR422" s="11"/>
      <c r="HS422" s="11"/>
      <c r="HT422" s="11"/>
      <c r="HU422" s="11"/>
      <c r="HV422" s="11"/>
      <c r="HW422" s="11"/>
      <c r="HX422" s="11"/>
      <c r="HY422" s="11"/>
      <c r="HZ422" s="11"/>
      <c r="IA422" s="11"/>
      <c r="IB422" s="11"/>
      <c r="IC422" s="11"/>
      <c r="ID422" s="11"/>
      <c r="IE422" s="11"/>
      <c r="IF422" s="11"/>
      <c r="IG422" s="11"/>
      <c r="IH422" s="11"/>
      <c r="II422" s="11"/>
      <c r="IJ422" s="11"/>
      <c r="IK422" s="11"/>
      <c r="IL422" s="11"/>
      <c r="IM422" s="11"/>
      <c r="IN422" s="11"/>
      <c r="IO422" s="11"/>
      <c r="IP422" s="11"/>
      <c r="IQ422" s="11"/>
      <c r="IR422" s="11"/>
      <c r="IS422" s="11"/>
      <c r="IT422" s="11"/>
      <c r="IU422" s="11"/>
      <c r="IV422" s="11"/>
      <c r="IW422" s="11"/>
      <c r="IX422" s="11"/>
      <c r="IY422" s="11"/>
      <c r="IZ422" s="11"/>
      <c r="JA422" s="11"/>
      <c r="JB422" s="11"/>
      <c r="JC422" s="11"/>
      <c r="JD422" s="11"/>
      <c r="JE422" s="11"/>
      <c r="JF422" s="11"/>
      <c r="JG422" s="11"/>
      <c r="JH422" s="11"/>
      <c r="JI422" s="11"/>
      <c r="JJ422" s="11"/>
      <c r="JK422" s="11"/>
      <c r="JL422" s="11"/>
      <c r="JM422" s="11"/>
      <c r="JN422" s="11"/>
      <c r="JO422" s="11"/>
      <c r="JP422" s="11"/>
      <c r="JQ422" s="11"/>
      <c r="JR422" s="11"/>
      <c r="JS422" s="11"/>
      <c r="JT422" s="11"/>
      <c r="JU422" s="11"/>
      <c r="JV422" s="11"/>
      <c r="JW422" s="11"/>
      <c r="JX422" s="11"/>
      <c r="JY422" s="11"/>
      <c r="JZ422" s="11"/>
      <c r="KA422" s="11"/>
      <c r="KB422" s="11"/>
      <c r="KC422" s="11"/>
      <c r="KD422" s="11"/>
      <c r="KE422" s="11"/>
      <c r="KF422" s="11"/>
      <c r="KG422" s="11"/>
      <c r="KH422" s="11"/>
      <c r="KI422" s="11"/>
      <c r="KJ422" s="11"/>
      <c r="KK422" s="11"/>
      <c r="KL422" s="11"/>
      <c r="KM422" s="11"/>
      <c r="KN422" s="11"/>
      <c r="KO422" s="11"/>
      <c r="KP422" s="11"/>
      <c r="KQ422" s="11"/>
      <c r="KR422" s="11"/>
      <c r="KS422" s="11"/>
      <c r="KT422" s="11"/>
      <c r="KU422" s="11"/>
      <c r="KV422" s="11"/>
      <c r="KW422" s="11"/>
      <c r="KX422" s="11"/>
      <c r="KY422" s="11"/>
      <c r="KZ422" s="11"/>
      <c r="LA422" s="11"/>
      <c r="LB422" s="11"/>
      <c r="LC422" s="11"/>
      <c r="LD422" s="11"/>
      <c r="LE422" s="11"/>
      <c r="LF422" s="11"/>
      <c r="LG422" s="11"/>
      <c r="LH422" s="11"/>
      <c r="LI422" s="11"/>
      <c r="LJ422" s="11"/>
      <c r="LK422" s="11"/>
      <c r="LL422" s="11"/>
      <c r="LM422" s="11"/>
      <c r="LN422" s="11"/>
      <c r="LO422" s="11"/>
      <c r="LP422" s="11"/>
      <c r="LQ422" s="11"/>
      <c r="LR422" s="11"/>
      <c r="LS422" s="11"/>
      <c r="LT422" s="11"/>
      <c r="LU422" s="11"/>
      <c r="LV422" s="11"/>
      <c r="LW422" s="11"/>
      <c r="LX422" s="11"/>
      <c r="LY422" s="11"/>
      <c r="LZ422" s="11"/>
      <c r="MA422" s="11"/>
      <c r="MB422" s="11"/>
      <c r="MC422" s="11"/>
      <c r="MD422" s="11"/>
      <c r="ME422" s="11"/>
      <c r="MF422" s="11"/>
      <c r="MG422" s="11"/>
      <c r="MH422" s="11"/>
      <c r="MI422" s="11"/>
      <c r="MJ422" s="11"/>
      <c r="MK422" s="11"/>
      <c r="ML422" s="11"/>
      <c r="MM422" s="11"/>
      <c r="MN422" s="11"/>
      <c r="MO422" s="11"/>
      <c r="MP422" s="11"/>
      <c r="MQ422" s="11"/>
      <c r="MR422" s="11"/>
      <c r="MS422" s="11"/>
      <c r="MT422" s="11"/>
      <c r="MU422" s="11"/>
      <c r="MV422" s="11"/>
      <c r="MW422" s="11"/>
      <c r="MX422" s="11"/>
      <c r="MY422" s="11"/>
      <c r="MZ422" s="11"/>
      <c r="NA422" s="11"/>
      <c r="NB422" s="11"/>
      <c r="NC422" s="11"/>
      <c r="ND422" s="11"/>
    </row>
    <row r="423" spans="1:368" ht="21.75" customHeight="1" x14ac:dyDescent="0.3">
      <c r="A423" s="4"/>
      <c r="B423" s="4"/>
      <c r="C423" s="6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  <c r="GP423" s="11"/>
      <c r="GQ423" s="11"/>
      <c r="GR423" s="11"/>
      <c r="GS423" s="11"/>
      <c r="GT423" s="11"/>
      <c r="GU423" s="11"/>
      <c r="GV423" s="11"/>
      <c r="GW423" s="11"/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  <c r="HM423" s="11"/>
      <c r="HN423" s="11"/>
      <c r="HO423" s="11"/>
      <c r="HP423" s="11"/>
      <c r="HQ423" s="11"/>
      <c r="HR423" s="11"/>
      <c r="HS423" s="11"/>
      <c r="HT423" s="11"/>
      <c r="HU423" s="11"/>
      <c r="HV423" s="11"/>
      <c r="HW423" s="11"/>
      <c r="HX423" s="11"/>
      <c r="HY423" s="11"/>
      <c r="HZ423" s="11"/>
      <c r="IA423" s="11"/>
      <c r="IB423" s="11"/>
      <c r="IC423" s="11"/>
      <c r="ID423" s="11"/>
      <c r="IE423" s="11"/>
      <c r="IF423" s="11"/>
      <c r="IG423" s="11"/>
      <c r="IH423" s="11"/>
      <c r="II423" s="11"/>
      <c r="IJ423" s="11"/>
      <c r="IK423" s="11"/>
      <c r="IL423" s="11"/>
      <c r="IM423" s="11"/>
      <c r="IN423" s="11"/>
      <c r="IO423" s="11"/>
      <c r="IP423" s="11"/>
      <c r="IQ423" s="11"/>
      <c r="IR423" s="11"/>
      <c r="IS423" s="11"/>
      <c r="IT423" s="11"/>
      <c r="IU423" s="11"/>
      <c r="IV423" s="11"/>
      <c r="IW423" s="11"/>
      <c r="IX423" s="11"/>
      <c r="IY423" s="11"/>
      <c r="IZ423" s="11"/>
      <c r="JA423" s="11"/>
      <c r="JB423" s="11"/>
      <c r="JC423" s="11"/>
      <c r="JD423" s="11"/>
      <c r="JE423" s="11"/>
      <c r="JF423" s="11"/>
      <c r="JG423" s="11"/>
      <c r="JH423" s="11"/>
      <c r="JI423" s="11"/>
      <c r="JJ423" s="11"/>
      <c r="JK423" s="11"/>
      <c r="JL423" s="11"/>
      <c r="JM423" s="11"/>
      <c r="JN423" s="11"/>
      <c r="JO423" s="11"/>
      <c r="JP423" s="11"/>
      <c r="JQ423" s="11"/>
      <c r="JR423" s="11"/>
      <c r="JS423" s="11"/>
      <c r="JT423" s="11"/>
      <c r="JU423" s="11"/>
      <c r="JV423" s="11"/>
      <c r="JW423" s="11"/>
      <c r="JX423" s="11"/>
      <c r="JY423" s="11"/>
      <c r="JZ423" s="11"/>
      <c r="KA423" s="11"/>
      <c r="KB423" s="11"/>
      <c r="KC423" s="11"/>
      <c r="KD423" s="11"/>
      <c r="KE423" s="11"/>
      <c r="KF423" s="11"/>
      <c r="KG423" s="11"/>
      <c r="KH423" s="11"/>
      <c r="KI423" s="11"/>
      <c r="KJ423" s="11"/>
      <c r="KK423" s="11"/>
      <c r="KL423" s="11"/>
      <c r="KM423" s="11"/>
      <c r="KN423" s="11"/>
      <c r="KO423" s="11"/>
      <c r="KP423" s="11"/>
      <c r="KQ423" s="11"/>
      <c r="KR423" s="11"/>
      <c r="KS423" s="11"/>
      <c r="KT423" s="11"/>
      <c r="KU423" s="11"/>
      <c r="KV423" s="11"/>
      <c r="KW423" s="11"/>
      <c r="KX423" s="11"/>
      <c r="KY423" s="11"/>
      <c r="KZ423" s="11"/>
      <c r="LA423" s="11"/>
      <c r="LB423" s="11"/>
      <c r="LC423" s="11"/>
      <c r="LD423" s="11"/>
      <c r="LE423" s="11"/>
      <c r="LF423" s="11"/>
      <c r="LG423" s="11"/>
      <c r="LH423" s="11"/>
      <c r="LI423" s="11"/>
      <c r="LJ423" s="11"/>
      <c r="LK423" s="11"/>
      <c r="LL423" s="11"/>
      <c r="LM423" s="11"/>
      <c r="LN423" s="11"/>
      <c r="LO423" s="11"/>
      <c r="LP423" s="11"/>
      <c r="LQ423" s="11"/>
      <c r="LR423" s="11"/>
      <c r="LS423" s="11"/>
      <c r="LT423" s="11"/>
      <c r="LU423" s="11"/>
      <c r="LV423" s="11"/>
      <c r="LW423" s="11"/>
      <c r="LX423" s="11"/>
      <c r="LY423" s="11"/>
      <c r="LZ423" s="11"/>
      <c r="MA423" s="11"/>
      <c r="MB423" s="11"/>
      <c r="MC423" s="11"/>
      <c r="MD423" s="11"/>
      <c r="ME423" s="11"/>
      <c r="MF423" s="11"/>
      <c r="MG423" s="11"/>
      <c r="MH423" s="11"/>
      <c r="MI423" s="11"/>
      <c r="MJ423" s="11"/>
      <c r="MK423" s="11"/>
      <c r="ML423" s="11"/>
      <c r="MM423" s="11"/>
      <c r="MN423" s="11"/>
      <c r="MO423" s="11"/>
      <c r="MP423" s="11"/>
      <c r="MQ423" s="11"/>
      <c r="MR423" s="11"/>
      <c r="MS423" s="11"/>
      <c r="MT423" s="11"/>
      <c r="MU423" s="11"/>
      <c r="MV423" s="11"/>
      <c r="MW423" s="11"/>
      <c r="MX423" s="11"/>
      <c r="MY423" s="11"/>
      <c r="MZ423" s="11"/>
      <c r="NA423" s="11"/>
      <c r="NB423" s="11"/>
      <c r="NC423" s="11"/>
      <c r="ND423" s="11"/>
    </row>
    <row r="424" spans="1:368" ht="21.75" customHeight="1" x14ac:dyDescent="0.3">
      <c r="A424" s="4"/>
      <c r="B424" s="4"/>
      <c r="C424" s="6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</row>
    <row r="425" spans="1:368" ht="21.75" customHeight="1" x14ac:dyDescent="0.3">
      <c r="A425" s="4"/>
      <c r="B425" s="4"/>
      <c r="C425" s="6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</row>
    <row r="426" spans="1:368" ht="21.75" customHeight="1" x14ac:dyDescent="0.3">
      <c r="A426" s="4"/>
      <c r="B426" s="4"/>
      <c r="C426" s="6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</row>
    <row r="427" spans="1:368" ht="21.75" customHeight="1" x14ac:dyDescent="0.3">
      <c r="A427" s="4"/>
      <c r="B427" s="4"/>
      <c r="C427" s="6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</row>
    <row r="428" spans="1:368" ht="21.75" customHeight="1" x14ac:dyDescent="0.3">
      <c r="A428" s="4"/>
      <c r="B428" s="4"/>
      <c r="C428" s="6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</row>
    <row r="429" spans="1:368" ht="21.75" customHeight="1" x14ac:dyDescent="0.3">
      <c r="A429" s="4"/>
      <c r="B429" s="4"/>
      <c r="C429" s="6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</row>
    <row r="430" spans="1:368" ht="21.75" customHeight="1" x14ac:dyDescent="0.3">
      <c r="A430" s="4"/>
      <c r="B430" s="4"/>
      <c r="C430" s="6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</row>
  </sheetData>
  <autoFilter ref="A4:PF430" xr:uid="{EFB8209B-FF71-4008-8DF7-FDDA30D84D1A}"/>
  <mergeCells count="1">
    <mergeCell ref="A1:B3"/>
  </mergeCells>
  <phoneticPr fontId="8" type="noConversion"/>
  <conditionalFormatting sqref="D6:MZ156 D188:MZ461">
    <cfRule type="expression" dxfId="9" priority="1">
      <formula>D6:WRH461="D"</formula>
    </cfRule>
    <cfRule type="expression" dxfId="8" priority="2">
      <formula>D6:WRH461="P"</formula>
    </cfRule>
  </conditionalFormatting>
  <conditionalFormatting sqref="D157:MZ187">
    <cfRule type="expression" dxfId="7" priority="20">
      <formula>D157:WRH611="D"</formula>
    </cfRule>
    <cfRule type="expression" dxfId="6" priority="21">
      <formula>D157:WRH611="P"</formula>
    </cfRule>
  </conditionalFormatting>
  <conditionalFormatting sqref="D5:ND5 D1:NC4 ND4">
    <cfRule type="timePeriod" dxfId="5" priority="9" timePeriod="today">
      <formula>FLOOR(D1,1)=TODAY()</formula>
    </cfRule>
  </conditionalFormatting>
  <conditionalFormatting sqref="D5:ND1048">
    <cfRule type="expression" dxfId="4" priority="5">
      <formula>TEXT(D$5:ND$1048576,"ddd")="Sun"</formula>
    </cfRule>
  </conditionalFormatting>
  <conditionalFormatting sqref="NA6:ND156 NA188:ND461">
    <cfRule type="expression" dxfId="3" priority="14">
      <formula>A6:NA461="D"</formula>
    </cfRule>
    <cfRule type="expression" dxfId="2" priority="15">
      <formula>A6:NA461="P"</formula>
    </cfRule>
  </conditionalFormatting>
  <conditionalFormatting sqref="NA157:ND187">
    <cfRule type="expression" dxfId="1" priority="26">
      <formula>A157:NA611="D"</formula>
    </cfRule>
    <cfRule type="expression" dxfId="0" priority="27">
      <formula>A157:NA611="P"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D55D-13E2-4F93-8754-C6317D2AAAD1}">
  <dimension ref="A1:M4"/>
  <sheetViews>
    <sheetView workbookViewId="0">
      <selection activeCell="H24" sqref="H24"/>
    </sheetView>
  </sheetViews>
  <sheetFormatPr defaultRowHeight="14.4" x14ac:dyDescent="0.3"/>
  <cols>
    <col min="10" max="10" width="12" customWidth="1"/>
    <col min="11" max="11" width="11.44140625" customWidth="1"/>
    <col min="12" max="13" width="11.109375" customWidth="1"/>
  </cols>
  <sheetData>
    <row r="1" spans="1:13" x14ac:dyDescent="0.3">
      <c r="A1" t="s">
        <v>3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</row>
    <row r="2" spans="1:13" x14ac:dyDescent="0.3">
      <c r="A2" t="s">
        <v>231</v>
      </c>
      <c r="B2" t="e">
        <f>SUM(#REF!)</f>
        <v>#REF!</v>
      </c>
      <c r="C2" t="e">
        <f>SUM(#REF!)</f>
        <v>#REF!</v>
      </c>
      <c r="D2" t="e">
        <f>SUM(#REF!)</f>
        <v>#REF!</v>
      </c>
      <c r="E2" t="e">
        <f>SUM(#REF!)</f>
        <v>#REF!</v>
      </c>
      <c r="F2" t="e">
        <f>SUM(#REF!)</f>
        <v>#REF!</v>
      </c>
      <c r="G2" t="e">
        <f>SUM(#REF!)</f>
        <v>#REF!</v>
      </c>
      <c r="H2" t="e">
        <f>SUM(#REF!)</f>
        <v>#REF!</v>
      </c>
      <c r="I2" t="e">
        <f>SUM(#REF!)</f>
        <v>#REF!</v>
      </c>
      <c r="J2" t="e">
        <f>SUM(#REF!)</f>
        <v>#REF!</v>
      </c>
      <c r="K2" t="e">
        <f>SUM(#REF!)</f>
        <v>#REF!</v>
      </c>
      <c r="L2" t="e">
        <f>SUM(#REF!)</f>
        <v>#REF!</v>
      </c>
      <c r="M2" t="e">
        <f>SUM(#REF!)</f>
        <v>#REF!</v>
      </c>
    </row>
    <row r="3" spans="1:13" x14ac:dyDescent="0.3">
      <c r="A3" t="s">
        <v>232</v>
      </c>
      <c r="B3" t="e">
        <f>COUNTIF(#REF!,"Done")</f>
        <v>#REF!</v>
      </c>
      <c r="C3" t="e">
        <f>COUNTIF(#REF!,"Done")</f>
        <v>#REF!</v>
      </c>
      <c r="D3" t="e">
        <f>COUNTIF(#REF!,"Done")</f>
        <v>#REF!</v>
      </c>
      <c r="E3" t="e">
        <f>COUNTIF(#REF!,"Done")</f>
        <v>#REF!</v>
      </c>
      <c r="F3" t="e">
        <f>COUNTIF(#REF!,"Done")</f>
        <v>#REF!</v>
      </c>
      <c r="G3" t="e">
        <f>COUNTIF(#REF!,"Done")</f>
        <v>#REF!</v>
      </c>
      <c r="H3" t="e">
        <f>COUNTIF(#REF!,"Done")</f>
        <v>#REF!</v>
      </c>
      <c r="I3" t="e">
        <f>COUNTIF(#REF!,"Done")</f>
        <v>#REF!</v>
      </c>
      <c r="J3" t="e">
        <f>COUNTIF(#REF!,"Done")</f>
        <v>#REF!</v>
      </c>
      <c r="K3" t="e">
        <f>COUNTIF(#REF!,"Done")</f>
        <v>#REF!</v>
      </c>
      <c r="L3" t="e">
        <f>COUNTIF(#REF!,"Done")</f>
        <v>#REF!</v>
      </c>
      <c r="M3" t="e">
        <f>COUNTIF(#REF!,"Done")</f>
        <v>#REF!</v>
      </c>
    </row>
    <row r="4" spans="1:13" x14ac:dyDescent="0.3">
      <c r="A4" t="s">
        <v>233</v>
      </c>
      <c r="B4" t="e">
        <f>COUNTIF(#REF!,"Delay")</f>
        <v>#REF!</v>
      </c>
      <c r="C4" t="e">
        <f>COUNTIF(#REF!,"Delay")</f>
        <v>#REF!</v>
      </c>
      <c r="D4" t="e">
        <f>COUNTIF(#REF!,"Delay")</f>
        <v>#REF!</v>
      </c>
      <c r="E4" t="e">
        <f>COUNTIF(#REF!,"Delay")</f>
        <v>#REF!</v>
      </c>
      <c r="F4" t="e">
        <f>COUNTIF(#REF!,"Delay")</f>
        <v>#REF!</v>
      </c>
      <c r="G4" t="e">
        <f>COUNTIF(#REF!,"Delay")</f>
        <v>#REF!</v>
      </c>
      <c r="H4" t="e">
        <f>COUNTIF(#REF!,"Delay")</f>
        <v>#REF!</v>
      </c>
      <c r="I4" t="e">
        <f>COUNTIF(#REF!,"Delay")</f>
        <v>#REF!</v>
      </c>
      <c r="J4" t="e">
        <f>COUNTIF(#REF!,"Delay")</f>
        <v>#REF!</v>
      </c>
      <c r="K4" t="e">
        <f>COUNTIF(#REF!,"Delay")</f>
        <v>#REF!</v>
      </c>
      <c r="L4" t="e">
        <f>COUNTIF(#REF!,"Delay")</f>
        <v>#REF!</v>
      </c>
      <c r="M4" t="e">
        <f>COUNTIF(#REF!,"Delay")</f>
        <v>#REF!</v>
      </c>
    </row>
  </sheetData>
  <phoneticPr fontId="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5B8CB69722941A964C9C10B9609FD" ma:contentTypeVersion="19" ma:contentTypeDescription="Create a new document." ma:contentTypeScope="" ma:versionID="d4166b1d8cae37f38a11bd31aee13dbb">
  <xsd:schema xmlns:xsd="http://www.w3.org/2001/XMLSchema" xmlns:xs="http://www.w3.org/2001/XMLSchema" xmlns:p="http://schemas.microsoft.com/office/2006/metadata/properties" xmlns:ns2="19c15b8d-2ef2-4a5c-ad4d-57454b575062" xmlns:ns3="537e35b7-d6fb-4a3a-b1e0-8801d686caac" targetNamespace="http://schemas.microsoft.com/office/2006/metadata/properties" ma:root="true" ma:fieldsID="54be228e72bce2a0d8062aa49ae20162" ns2:_="" ns3:_="">
    <xsd:import namespace="19c15b8d-2ef2-4a5c-ad4d-57454b575062"/>
    <xsd:import namespace="537e35b7-d6fb-4a3a-b1e0-8801d686ca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15b8d-2ef2-4a5c-ad4d-57454b575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e35b7-d6fb-4a3a-b1e0-8801d686caa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8a21a1-e92e-43bf-a43a-9ea5a7202b31}" ma:internalName="TaxCatchAll" ma:showField="CatchAllData" ma:web="537e35b7-d6fb-4a3a-b1e0-8801d686c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c15b8d-2ef2-4a5c-ad4d-57454b575062">
      <Terms xmlns="http://schemas.microsoft.com/office/infopath/2007/PartnerControls"/>
    </lcf76f155ced4ddcb4097134ff3c332f>
    <TaxCatchAll xmlns="537e35b7-d6fb-4a3a-b1e0-8801d686caac" xsi:nil="true"/>
  </documentManagement>
</p:properties>
</file>

<file path=customXml/itemProps1.xml><?xml version="1.0" encoding="utf-8"?>
<ds:datastoreItem xmlns:ds="http://schemas.openxmlformats.org/officeDocument/2006/customXml" ds:itemID="{A220312A-17A4-43F2-9890-0C3C0D3D4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9208B0-A53E-46FF-8895-6193A473CDDB}"/>
</file>

<file path=customXml/itemProps3.xml><?xml version="1.0" encoding="utf-8"?>
<ds:datastoreItem xmlns:ds="http://schemas.openxmlformats.org/officeDocument/2006/customXml" ds:itemID="{267D8948-8E5E-4962-9135-E243856FA5A7}">
  <ds:schemaRefs>
    <ds:schemaRef ds:uri="1630e605-f468-4800-90dc-78f765ca628e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41b36594-4c0c-4a4e-ba4d-408ed0e5f515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19c15b8d-2ef2-4a5c-ad4d-57454b575062"/>
    <ds:schemaRef ds:uri="537e35b7-d6fb-4a3a-b1e0-8801d686ca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 Plan(Monitoring)</vt:lpstr>
      <vt:lpstr>Detail Plan</vt:lpstr>
      <vt:lpstr>data</vt:lpstr>
      <vt:lpstr>'Master Plan(Monitoring)'!Print_Area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Viet Hoa (VN.OP-ENG)</dc:creator>
  <cp:keywords/>
  <dc:description/>
  <cp:lastModifiedBy>Huy Tran - OVN EHS &amp; Facilities Maintenance Supervisor</cp:lastModifiedBy>
  <cp:revision/>
  <cp:lastPrinted>2025-12-26T04:32:25Z</cp:lastPrinted>
  <dcterms:created xsi:type="dcterms:W3CDTF">2015-06-05T18:17:20Z</dcterms:created>
  <dcterms:modified xsi:type="dcterms:W3CDTF">2026-01-14T08:08:16Z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0x0101007985B8CB69722941A964C9C10B9609FD</vt:lpwstr>
  </property>
  <property fmtid="{D5CDD505-2E9C-101B-9397-08002B2CF9AE}" pid="3" name="MediaServiceImageTags">
    <vt:lpwstr/>
  </property>
</Properties>
</file>